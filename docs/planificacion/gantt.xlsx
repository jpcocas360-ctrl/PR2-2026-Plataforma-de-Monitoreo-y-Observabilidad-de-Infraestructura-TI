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p\Downloads\Unifranz\Materias\sistemas operatvos\"/>
    </mc:Choice>
  </mc:AlternateContent>
  <xr:revisionPtr revIDLastSave="0" documentId="13_ncr:1_{81F4C929-0661-4CCD-850C-29B60F098D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agrama de Gantt" sheetId="1" r:id="rId1"/>
  </sheets>
  <definedNames>
    <definedName name="_xlnm.Print_Titles" localSheetId="0">'Diagrama de Gantt'!$1:$4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9" i="1" l="1"/>
  <c r="H49" i="1" s="1"/>
  <c r="F49" i="1"/>
  <c r="G48" i="1"/>
  <c r="H48" i="1" s="1"/>
  <c r="F48" i="1"/>
  <c r="G47" i="1"/>
  <c r="H47" i="1" s="1"/>
  <c r="F47" i="1"/>
  <c r="G46" i="1"/>
  <c r="H46" i="1" s="1"/>
  <c r="F46" i="1"/>
  <c r="G45" i="1"/>
  <c r="H45" i="1" s="1"/>
  <c r="F45" i="1"/>
  <c r="G44" i="1"/>
  <c r="H44" i="1" s="1"/>
  <c r="F44" i="1"/>
  <c r="G42" i="1"/>
  <c r="H42" i="1" s="1"/>
  <c r="F42" i="1"/>
  <c r="G41" i="1"/>
  <c r="H41" i="1" s="1"/>
  <c r="F41" i="1"/>
  <c r="G40" i="1"/>
  <c r="H40" i="1" s="1"/>
  <c r="F40" i="1"/>
  <c r="G39" i="1"/>
  <c r="H39" i="1" s="1"/>
  <c r="F39" i="1"/>
  <c r="G37" i="1"/>
  <c r="H37" i="1" s="1"/>
  <c r="F37" i="1"/>
  <c r="G36" i="1"/>
  <c r="H36" i="1" s="1"/>
  <c r="F36" i="1"/>
  <c r="G35" i="1"/>
  <c r="H35" i="1" s="1"/>
  <c r="F35" i="1"/>
  <c r="G34" i="1"/>
  <c r="H34" i="1" s="1"/>
  <c r="F34" i="1"/>
  <c r="G33" i="1"/>
  <c r="H33" i="1" s="1"/>
  <c r="F33" i="1"/>
  <c r="G31" i="1"/>
  <c r="H31" i="1" s="1"/>
  <c r="F31" i="1"/>
  <c r="G30" i="1"/>
  <c r="H30" i="1" s="1"/>
  <c r="F30" i="1"/>
  <c r="G29" i="1"/>
  <c r="H29" i="1" s="1"/>
  <c r="F29" i="1"/>
  <c r="G28" i="1"/>
  <c r="H28" i="1" s="1"/>
  <c r="F28" i="1"/>
  <c r="G26" i="1"/>
  <c r="H26" i="1" s="1"/>
  <c r="F26" i="1"/>
  <c r="G25" i="1"/>
  <c r="H25" i="1" s="1"/>
  <c r="F25" i="1"/>
  <c r="G24" i="1"/>
  <c r="H24" i="1" s="1"/>
  <c r="F24" i="1"/>
  <c r="G22" i="1"/>
  <c r="H22" i="1" s="1"/>
  <c r="F22" i="1"/>
  <c r="G21" i="1"/>
  <c r="H21" i="1" s="1"/>
  <c r="F21" i="1"/>
  <c r="G20" i="1"/>
  <c r="H20" i="1" s="1"/>
  <c r="F20" i="1"/>
  <c r="G18" i="1"/>
  <c r="H18" i="1" s="1"/>
  <c r="F18" i="1"/>
  <c r="G17" i="1"/>
  <c r="H17" i="1" s="1"/>
  <c r="F17" i="1"/>
  <c r="G16" i="1"/>
  <c r="H16" i="1" s="1"/>
  <c r="F16" i="1"/>
  <c r="G14" i="1"/>
  <c r="H14" i="1" s="1"/>
  <c r="F14" i="1"/>
  <c r="G13" i="1"/>
  <c r="H13" i="1" s="1"/>
  <c r="F13" i="1"/>
  <c r="G12" i="1"/>
  <c r="H12" i="1" s="1"/>
  <c r="F12" i="1"/>
  <c r="G11" i="1"/>
  <c r="H11" i="1" s="1"/>
  <c r="F11" i="1"/>
  <c r="G9" i="1"/>
  <c r="H9" i="1" s="1"/>
  <c r="F9" i="1"/>
  <c r="G8" i="1"/>
  <c r="H8" i="1" s="1"/>
  <c r="F8" i="1"/>
  <c r="G7" i="1"/>
  <c r="H7" i="1" s="1"/>
  <c r="F7" i="1"/>
  <c r="G6" i="1"/>
  <c r="H6" i="1" s="1"/>
  <c r="F6" i="1"/>
</calcChain>
</file>

<file path=xl/sharedStrings.xml><?xml version="1.0" encoding="utf-8"?>
<sst xmlns="http://schemas.openxmlformats.org/spreadsheetml/2006/main" count="103" uniqueCount="73">
  <si>
    <t>DIAGRAMA DE GANTT - PLATAFORMA DE MONITOREO Y OBSERVABILIDAD DE INFRAESTRUCTURA TI</t>
  </si>
  <si>
    <t>Generado: 07/10/2026  |  Equipo: ByteCraft Solutions  |  Período: 12/08/2026 - 11/12/2026</t>
  </si>
  <si>
    <t>CRONOGRAMA DEL PROYECTO: 12/08/2026 - 11/12/2026</t>
  </si>
  <si>
    <t>AGOSTO 2026</t>
  </si>
  <si>
    <t>SEPTIEMBRE 2026</t>
  </si>
  <si>
    <t>OCTUBRE 2026</t>
  </si>
  <si>
    <t>NOVIEMBRE 2026</t>
  </si>
  <si>
    <t>DICIEMBRE 2026</t>
  </si>
  <si>
    <t>ID</t>
  </si>
  <si>
    <t>Tarea</t>
  </si>
  <si>
    <t>Responsable</t>
  </si>
  <si>
    <t>Fecha Inicio</t>
  </si>
  <si>
    <t>Fecha Fin</t>
  </si>
  <si>
    <t>Duración</t>
  </si>
  <si>
    <t>Progreso</t>
  </si>
  <si>
    <t>Estado</t>
  </si>
  <si>
    <t>FASE 1: INICIO Y PLANIFICACIÓN</t>
  </si>
  <si>
    <t>Elección y definición del tema</t>
  </si>
  <si>
    <t>Todo el equipo</t>
  </si>
  <si>
    <t>Definición del problema y alcance</t>
  </si>
  <si>
    <t>Juan Gabriel Ortega Orellana</t>
  </si>
  <si>
    <t>Investigación inicial y recopilación de requisitos</t>
  </si>
  <si>
    <t>Definición de objetivos y alcance técnico</t>
  </si>
  <si>
    <t>FASE 2: INVESTIGACIÓN Y DISEÑO</t>
  </si>
  <si>
    <t>Investigación de Prometheus y Grafana</t>
  </si>
  <si>
    <t>Juan Pablo Coca Soliz</t>
  </si>
  <si>
    <t>Investigación de Node Exporter, SNMP Exporter y cAdvisor</t>
  </si>
  <si>
    <t>Nathan Ezequiaz Torrico</t>
  </si>
  <si>
    <t>Diseño de arquitectura de la solución</t>
  </si>
  <si>
    <t>Definición del entorno de virtualización con Proxmox VE</t>
  </si>
  <si>
    <t>FASE 3: DOCUMENTACIÓN Y VALIDACIÓN DEL DISEÑO</t>
  </si>
  <si>
    <t>Elaboración del informe inicial</t>
  </si>
  <si>
    <t>Revisión técnica del proyecto</t>
  </si>
  <si>
    <t>Corrección y mejora del informe</t>
  </si>
  <si>
    <t>FASE 4: PREPARACIÓN DE INFRAESTRUCTURA</t>
  </si>
  <si>
    <t>Preparación de máquina virtual en Proxmox VE</t>
  </si>
  <si>
    <t>Instalación y configuración de Docker</t>
  </si>
  <si>
    <t>Creación y configuración de docker-compose.yml</t>
  </si>
  <si>
    <t>FASE 5: DESPLIEGUE DE LA PLATAFORMA</t>
  </si>
  <si>
    <t>Despliegue de Prometheus</t>
  </si>
  <si>
    <t>Despliegue y configuración de Grafana</t>
  </si>
  <si>
    <t>Configuración de comunicación Prometheus-Grafana</t>
  </si>
  <si>
    <t>FASE 6: IMPLEMENTACIÓN DE AGENTES Y RECOLECCIÓN</t>
  </si>
  <si>
    <t>Instalación de Node Exporter en servidores de prueba</t>
  </si>
  <si>
    <t>Configuración de SNMP Exporter</t>
  </si>
  <si>
    <t>Configuración de cAdvisor</t>
  </si>
  <si>
    <t>Integración de agentes con Prometheus</t>
  </si>
  <si>
    <t>Nathan Ezequiaz Torrico / Juan Pablo Coca Soliz</t>
  </si>
  <si>
    <t>FASE 7: DASHBOARDS Y VISUALIZACIÓN</t>
  </si>
  <si>
    <t>Diseño de dashboard general de infraestructura</t>
  </si>
  <si>
    <t>Dashboard de CPU y memoria RAM</t>
  </si>
  <si>
    <t>Dashboard de almacenamiento</t>
  </si>
  <si>
    <t>Dashboard de tráfico y métricas de red</t>
  </si>
  <si>
    <t>Integración y validación visual de dashboards</t>
  </si>
  <si>
    <t>FASE 8: ALERTAS Y PRUEBAS</t>
  </si>
  <si>
    <t>Configuración de reglas de alerta</t>
  </si>
  <si>
    <t>Integración de alertas con Telegram/Discord/Email</t>
  </si>
  <si>
    <t>Pruebas de monitoreo y generación de alertas</t>
  </si>
  <si>
    <t>Juan Pablo Coca Soliz / Nathan Ezequiaz Torrico</t>
  </si>
  <si>
    <t>Pruebas de carga y evaluación del consumo de recursos</t>
  </si>
  <si>
    <t>FASE 9: DOCUMENTACIÓN Y ENTREGA</t>
  </si>
  <si>
    <t>Elaboración del manual técnico</t>
  </si>
  <si>
    <t>Documentación de instalación y configuración</t>
  </si>
  <si>
    <t>Documentación de operación y monitoreo</t>
  </si>
  <si>
    <t>Integración final del informe</t>
  </si>
  <si>
    <t>Revisión final y correcciones</t>
  </si>
  <si>
    <t>Entrega y presentación del proyecto</t>
  </si>
  <si>
    <t>LEYENDA:</t>
  </si>
  <si>
    <t>✔ Completado (100%)</t>
  </si>
  <si>
    <t>● En Progreso (50-99%)</t>
  </si>
  <si>
    <t>● Iniciada (1-49%)</t>
  </si>
  <si>
    <t>● Pendiente (0%)</t>
  </si>
  <si>
    <t>Línea vertical naranja = Actualización / Revisión del proyecto: 07/10/2026  ·  Barra oscura de fila de fase = resumen de la fase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</si>
</sst>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ACTUALIZACIÓN / REVISIÓN: &quot;dd/mm/yyyy"/>
    <numFmt numFmtId="165" formatCode="dd/mm/yyyy"/>
    <numFmt numFmtId="166" formatCode="[=1]0&quot; día&quot;;0&quot; días&quot;"/>
  </numFmts>
  <fonts count="15" x14ac:knownFonts="1">
    <font>
      <sz val="11"/>
      <color theme="1"/>
      <name val="Calibri"/>
      <family val="2"/>
      <scheme val="minor"/>
    </font>
    <font>
      <b/>
      <sz val="16"/>
      <color rgb="FF1E3A8A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8"/>
      <color rgb="FFFFFFFF"/>
      <name val="Calibri"/>
    </font>
    <font>
      <b/>
      <sz val="9"/>
      <color rgb="FF065F46"/>
      <name val="Calibri"/>
    </font>
    <font>
      <b/>
      <sz val="9"/>
      <color rgb="FFFFFFFF"/>
      <name val="Calibri"/>
    </font>
    <font>
      <b/>
      <sz val="9"/>
      <color rgb="FF1E40AF"/>
      <name val="Calibri"/>
    </font>
    <font>
      <b/>
      <sz val="9"/>
      <color rgb="FF92400E"/>
      <name val="Calibri"/>
    </font>
    <font>
      <sz val="10"/>
      <color rgb="FF6B7280"/>
      <name val="Calibri"/>
    </font>
    <font>
      <sz val="11"/>
      <name val="Calibri"/>
    </font>
    <font>
      <b/>
      <sz val="9"/>
      <color rgb="FF374151"/>
      <name val="Calibri"/>
    </font>
    <font>
      <b/>
      <sz val="10"/>
      <color rgb="FF1E3A8A"/>
      <name val="Calibri"/>
    </font>
    <font>
      <b/>
      <sz val="9"/>
      <color rgb="FF9A3412"/>
      <name val="Calibri"/>
    </font>
    <font>
      <sz val="1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3B82F6"/>
        <bgColor rgb="FF3B82F6"/>
      </patternFill>
    </fill>
    <fill>
      <patternFill patternType="solid">
        <fgColor rgb="FFDBEAFE"/>
        <bgColor rgb="FFDBEAFE"/>
      </patternFill>
    </fill>
    <fill>
      <patternFill patternType="solid">
        <fgColor rgb="FFF9FAFB"/>
        <bgColor rgb="FFF9FAFB"/>
      </patternFill>
    </fill>
    <fill>
      <patternFill patternType="solid">
        <fgColor rgb="FFD1FAE5"/>
        <bgColor rgb="FFD1FAE5"/>
      </patternFill>
    </fill>
    <fill>
      <patternFill patternType="solid">
        <fgColor rgb="FF10B981"/>
        <bgColor rgb="FF10B981"/>
      </patternFill>
    </fill>
    <fill>
      <patternFill patternType="solid">
        <fgColor rgb="FFFEF3C7"/>
        <bgColor rgb="FFFEF3C7"/>
      </patternFill>
    </fill>
    <fill>
      <patternFill patternType="solid">
        <fgColor rgb="FFE5E7EB"/>
        <bgColor rgb="FFE5E7EB"/>
      </patternFill>
    </fill>
    <fill>
      <patternFill patternType="solid">
        <fgColor rgb="FF2563EB"/>
        <bgColor rgb="FF2563EB"/>
      </patternFill>
    </fill>
    <fill>
      <patternFill patternType="solid">
        <fgColor rgb="FFEA580C"/>
        <bgColor rgb="FFEA580C"/>
      </patternFill>
    </fill>
    <fill>
      <patternFill patternType="solid">
        <fgColor rgb="FFFED7AA"/>
        <bgColor rgb="FFFED7AA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EA580C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0" fillId="2" borderId="1" xfId="0" applyFill="1" applyBorder="1"/>
    <xf numFmtId="0" fontId="0" fillId="4" borderId="1" xfId="0" applyFill="1" applyBorder="1"/>
    <xf numFmtId="0" fontId="0" fillId="4" borderId="2" xfId="0" applyFill="1" applyBorder="1"/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wrapText="1"/>
    </xf>
    <xf numFmtId="165" fontId="10" fillId="5" borderId="1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9" fontId="6" fillId="7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5" borderId="1" xfId="0" applyFill="1" applyBorder="1"/>
    <xf numFmtId="0" fontId="0" fillId="5" borderId="2" xfId="0" applyFill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165" fontId="10" fillId="0" borderId="1" xfId="0" applyNumberFormat="1" applyFont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/>
    <xf numFmtId="0" fontId="0" fillId="7" borderId="2" xfId="0" applyFill="1" applyBorder="1"/>
    <xf numFmtId="9" fontId="11" fillId="9" borderId="1" xfId="0" applyNumberFormat="1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12" fillId="0" borderId="0" xfId="0" applyFont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3" fillId="10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3" fillId="12" borderId="1" xfId="0" applyFont="1" applyFill="1" applyBorder="1" applyAlignment="1">
      <alignment horizontal="center" vertical="center"/>
    </xf>
    <xf numFmtId="0" fontId="0" fillId="12" borderId="1" xfId="0" applyFill="1" applyBorder="1"/>
    <xf numFmtId="0" fontId="9" fillId="0" borderId="0" xfId="0" applyFont="1" applyAlignment="1">
      <alignment horizontal="center" vertical="center"/>
    </xf>
    <xf numFmtId="164" fontId="8" fillId="8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11" fillId="9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8" fillId="8" borderId="1" xfId="0" applyFont="1" applyFill="1" applyBorder="1" applyAlignment="1">
      <alignment horizontal="center" vertical="center"/>
    </xf>
    <xf numFmtId="0" fontId="0" fillId="8" borderId="1" xfId="0" applyFill="1" applyBorder="1"/>
  </cellXfs>
  <cellStyles count="1">
    <cellStyle name="Normal" xfId="0" builtinId="0"/>
  </cellStyles>
  <dxfs count="8">
    <dxf>
      <font>
        <b/>
        <color rgb="FF374151"/>
      </font>
      <fill>
        <patternFill>
          <bgColor rgb="FFE5E7EB"/>
        </patternFill>
      </fill>
    </dxf>
    <dxf>
      <font>
        <b/>
        <color rgb="FF9A3412"/>
      </font>
      <fill>
        <patternFill>
          <bgColor rgb="FFFED7AA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065F46"/>
      </font>
      <fill>
        <patternFill>
          <bgColor rgb="FFD1FAE5"/>
        </patternFill>
      </fill>
    </dxf>
    <dxf>
      <font>
        <b/>
        <color rgb="FF374151"/>
      </font>
      <fill>
        <patternFill>
          <bgColor rgb="FFE5E7EB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FFFFFF"/>
      </font>
      <fill>
        <patternFill>
          <bgColor rgb="FF3B82F6"/>
        </patternFill>
      </fill>
    </dxf>
    <dxf>
      <font>
        <b/>
        <color rgb="FFFFFFFF"/>
      </font>
      <fill>
        <patternFill>
          <bgColor rgb="FF10B98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Z51"/>
  <sheetViews>
    <sheetView tabSelected="1" zoomScale="82" workbookViewId="0">
      <pane xSplit="8" ySplit="4" topLeftCell="BY26" activePane="bottomRight" state="frozen"/>
      <selection pane="topRight"/>
      <selection pane="bottomLeft"/>
      <selection pane="bottomRight" activeCell="A32" sqref="A32:H32"/>
    </sheetView>
  </sheetViews>
  <sheetFormatPr baseColWidth="10" defaultColWidth="8.85546875" defaultRowHeight="15" x14ac:dyDescent="0.25"/>
  <cols>
    <col min="1" max="1" width="5" customWidth="1"/>
    <col min="2" max="2" width="46" customWidth="1"/>
    <col min="3" max="3" width="30" customWidth="1"/>
    <col min="4" max="5" width="12" customWidth="1"/>
    <col min="6" max="7" width="10" customWidth="1"/>
    <col min="8" max="8" width="13" customWidth="1"/>
    <col min="9" max="130" width="3.42578125" customWidth="1"/>
  </cols>
  <sheetData>
    <row r="1" spans="1:130" ht="34.9" customHeight="1" x14ac:dyDescent="0.25">
      <c r="A1" s="33" t="s">
        <v>0</v>
      </c>
      <c r="B1" s="32"/>
      <c r="C1" s="32"/>
      <c r="D1" s="32"/>
      <c r="E1" s="32"/>
      <c r="F1" s="32"/>
      <c r="G1" s="32"/>
      <c r="H1" s="32"/>
    </row>
    <row r="2" spans="1:130" ht="19.899999999999999" customHeight="1" x14ac:dyDescent="0.25">
      <c r="A2" s="38" t="s">
        <v>1</v>
      </c>
      <c r="B2" s="32"/>
      <c r="C2" s="32"/>
      <c r="D2" s="32"/>
      <c r="E2" s="32"/>
      <c r="F2" s="32"/>
      <c r="G2" s="32"/>
      <c r="H2" s="32"/>
      <c r="BF2" s="39">
        <v>46302</v>
      </c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</row>
    <row r="3" spans="1:130" ht="19.899999999999999" customHeight="1" x14ac:dyDescent="0.25">
      <c r="A3" s="34" t="s">
        <v>2</v>
      </c>
      <c r="B3" s="32"/>
      <c r="C3" s="32"/>
      <c r="D3" s="32"/>
      <c r="E3" s="32"/>
      <c r="F3" s="32"/>
      <c r="G3" s="32"/>
      <c r="H3" s="32"/>
      <c r="I3" s="34" t="s">
        <v>3</v>
      </c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1" t="s">
        <v>4</v>
      </c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4" t="s">
        <v>5</v>
      </c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  <c r="CD3" s="32"/>
      <c r="CE3" s="32"/>
      <c r="CF3" s="32"/>
      <c r="CG3" s="32"/>
      <c r="CH3" s="32"/>
      <c r="CI3" s="32"/>
      <c r="CJ3" s="32"/>
      <c r="CK3" s="32"/>
      <c r="CL3" s="31" t="s">
        <v>6</v>
      </c>
      <c r="CM3" s="32"/>
      <c r="CN3" s="32"/>
      <c r="CO3" s="32"/>
      <c r="CP3" s="32"/>
      <c r="CQ3" s="32"/>
      <c r="CR3" s="32"/>
      <c r="CS3" s="32"/>
      <c r="CT3" s="32"/>
      <c r="CU3" s="32"/>
      <c r="CV3" s="32"/>
      <c r="CW3" s="32"/>
      <c r="CX3" s="32"/>
      <c r="CY3" s="32"/>
      <c r="CZ3" s="32"/>
      <c r="DA3" s="32"/>
      <c r="DB3" s="32"/>
      <c r="DC3" s="32"/>
      <c r="DD3" s="32"/>
      <c r="DE3" s="32"/>
      <c r="DF3" s="32"/>
      <c r="DG3" s="32"/>
      <c r="DH3" s="32"/>
      <c r="DI3" s="32"/>
      <c r="DJ3" s="32"/>
      <c r="DK3" s="32"/>
      <c r="DL3" s="32"/>
      <c r="DM3" s="32"/>
      <c r="DN3" s="32"/>
      <c r="DO3" s="32"/>
      <c r="DP3" s="34" t="s">
        <v>7</v>
      </c>
      <c r="DQ3" s="32"/>
      <c r="DR3" s="32"/>
      <c r="DS3" s="32"/>
      <c r="DT3" s="32"/>
      <c r="DU3" s="32"/>
      <c r="DV3" s="32"/>
      <c r="DW3" s="32"/>
      <c r="DX3" s="32"/>
      <c r="DY3" s="32"/>
      <c r="DZ3" s="32"/>
    </row>
    <row r="4" spans="1:130" ht="25.15" customHeight="1" x14ac:dyDescent="0.25">
      <c r="A4" s="2" t="s">
        <v>8</v>
      </c>
      <c r="B4" s="2" t="s">
        <v>9</v>
      </c>
      <c r="C4" s="2" t="s">
        <v>10</v>
      </c>
      <c r="D4" s="2" t="s">
        <v>11</v>
      </c>
      <c r="E4" s="2" t="s">
        <v>12</v>
      </c>
      <c r="F4" s="2" t="s">
        <v>13</v>
      </c>
      <c r="G4" s="2" t="s">
        <v>14</v>
      </c>
      <c r="H4" s="2" t="s">
        <v>15</v>
      </c>
      <c r="I4" s="3">
        <v>12</v>
      </c>
      <c r="J4" s="3">
        <v>13</v>
      </c>
      <c r="K4" s="3">
        <v>14</v>
      </c>
      <c r="L4" s="3">
        <v>15</v>
      </c>
      <c r="M4" s="3">
        <v>16</v>
      </c>
      <c r="N4" s="3">
        <v>17</v>
      </c>
      <c r="O4" s="3">
        <v>18</v>
      </c>
      <c r="P4" s="3">
        <v>19</v>
      </c>
      <c r="Q4" s="3">
        <v>20</v>
      </c>
      <c r="R4" s="3">
        <v>21</v>
      </c>
      <c r="S4" s="3">
        <v>22</v>
      </c>
      <c r="T4" s="3">
        <v>23</v>
      </c>
      <c r="U4" s="3">
        <v>24</v>
      </c>
      <c r="V4" s="3">
        <v>25</v>
      </c>
      <c r="W4" s="3">
        <v>26</v>
      </c>
      <c r="X4" s="3">
        <v>27</v>
      </c>
      <c r="Y4" s="3">
        <v>28</v>
      </c>
      <c r="Z4" s="3">
        <v>29</v>
      </c>
      <c r="AA4" s="3">
        <v>30</v>
      </c>
      <c r="AB4" s="3">
        <v>31</v>
      </c>
      <c r="AC4" s="3">
        <v>1</v>
      </c>
      <c r="AD4" s="3">
        <v>2</v>
      </c>
      <c r="AE4" s="3">
        <v>3</v>
      </c>
      <c r="AF4" s="3">
        <v>4</v>
      </c>
      <c r="AG4" s="3">
        <v>5</v>
      </c>
      <c r="AH4" s="3">
        <v>6</v>
      </c>
      <c r="AI4" s="3">
        <v>7</v>
      </c>
      <c r="AJ4" s="3">
        <v>8</v>
      </c>
      <c r="AK4" s="3">
        <v>9</v>
      </c>
      <c r="AL4" s="3">
        <v>10</v>
      </c>
      <c r="AM4" s="3">
        <v>11</v>
      </c>
      <c r="AN4" s="3">
        <v>12</v>
      </c>
      <c r="AO4" s="3">
        <v>13</v>
      </c>
      <c r="AP4" s="3">
        <v>14</v>
      </c>
      <c r="AQ4" s="3">
        <v>15</v>
      </c>
      <c r="AR4" s="3">
        <v>16</v>
      </c>
      <c r="AS4" s="3">
        <v>17</v>
      </c>
      <c r="AT4" s="3">
        <v>18</v>
      </c>
      <c r="AU4" s="3">
        <v>19</v>
      </c>
      <c r="AV4" s="3">
        <v>20</v>
      </c>
      <c r="AW4" s="3">
        <v>21</v>
      </c>
      <c r="AX4" s="3">
        <v>22</v>
      </c>
      <c r="AY4" s="3">
        <v>23</v>
      </c>
      <c r="AZ4" s="3">
        <v>24</v>
      </c>
      <c r="BA4" s="3">
        <v>25</v>
      </c>
      <c r="BB4" s="3">
        <v>26</v>
      </c>
      <c r="BC4" s="3">
        <v>27</v>
      </c>
      <c r="BD4" s="3">
        <v>28</v>
      </c>
      <c r="BE4" s="3">
        <v>29</v>
      </c>
      <c r="BF4" s="3">
        <v>30</v>
      </c>
      <c r="BG4" s="3">
        <v>1</v>
      </c>
      <c r="BH4" s="3">
        <v>2</v>
      </c>
      <c r="BI4" s="3">
        <v>3</v>
      </c>
      <c r="BJ4" s="3">
        <v>4</v>
      </c>
      <c r="BK4" s="3">
        <v>5</v>
      </c>
      <c r="BL4" s="3">
        <v>6</v>
      </c>
      <c r="BM4" s="4">
        <v>7</v>
      </c>
      <c r="BN4" s="3">
        <v>8</v>
      </c>
      <c r="BO4" s="3">
        <v>9</v>
      </c>
      <c r="BP4" s="3">
        <v>10</v>
      </c>
      <c r="BQ4" s="3">
        <v>11</v>
      </c>
      <c r="BR4" s="3">
        <v>12</v>
      </c>
      <c r="BS4" s="3">
        <v>13</v>
      </c>
      <c r="BT4" s="3">
        <v>14</v>
      </c>
      <c r="BU4" s="3">
        <v>15</v>
      </c>
      <c r="BV4" s="3">
        <v>16</v>
      </c>
      <c r="BW4" s="3">
        <v>17</v>
      </c>
      <c r="BX4" s="3">
        <v>18</v>
      </c>
      <c r="BY4" s="3">
        <v>19</v>
      </c>
      <c r="BZ4" s="3">
        <v>20</v>
      </c>
      <c r="CA4" s="3">
        <v>21</v>
      </c>
      <c r="CB4" s="3">
        <v>22</v>
      </c>
      <c r="CC4" s="3">
        <v>23</v>
      </c>
      <c r="CD4" s="3">
        <v>24</v>
      </c>
      <c r="CE4" s="3">
        <v>25</v>
      </c>
      <c r="CF4" s="3">
        <v>26</v>
      </c>
      <c r="CG4" s="3">
        <v>27</v>
      </c>
      <c r="CH4" s="3">
        <v>28</v>
      </c>
      <c r="CI4" s="3">
        <v>29</v>
      </c>
      <c r="CJ4" s="3">
        <v>30</v>
      </c>
      <c r="CK4" s="3">
        <v>31</v>
      </c>
      <c r="CL4" s="3">
        <v>1</v>
      </c>
      <c r="CM4" s="3">
        <v>2</v>
      </c>
      <c r="CN4" s="3">
        <v>3</v>
      </c>
      <c r="CO4" s="3">
        <v>4</v>
      </c>
      <c r="CP4" s="3">
        <v>5</v>
      </c>
      <c r="CQ4" s="3">
        <v>6</v>
      </c>
      <c r="CR4" s="3">
        <v>7</v>
      </c>
      <c r="CS4" s="3">
        <v>8</v>
      </c>
      <c r="CT4" s="3">
        <v>9</v>
      </c>
      <c r="CU4" s="3">
        <v>10</v>
      </c>
      <c r="CV4" s="3">
        <v>11</v>
      </c>
      <c r="CW4" s="3">
        <v>12</v>
      </c>
      <c r="CX4" s="3">
        <v>13</v>
      </c>
      <c r="CY4" s="3">
        <v>14</v>
      </c>
      <c r="CZ4" s="3">
        <v>15</v>
      </c>
      <c r="DA4" s="3">
        <v>16</v>
      </c>
      <c r="DB4" s="3">
        <v>17</v>
      </c>
      <c r="DC4" s="3">
        <v>18</v>
      </c>
      <c r="DD4" s="3">
        <v>19</v>
      </c>
      <c r="DE4" s="3">
        <v>20</v>
      </c>
      <c r="DF4" s="3">
        <v>21</v>
      </c>
      <c r="DG4" s="3">
        <v>22</v>
      </c>
      <c r="DH4" s="3">
        <v>23</v>
      </c>
      <c r="DI4" s="3">
        <v>24</v>
      </c>
      <c r="DJ4" s="3">
        <v>25</v>
      </c>
      <c r="DK4" s="3">
        <v>26</v>
      </c>
      <c r="DL4" s="3">
        <v>27</v>
      </c>
      <c r="DM4" s="3">
        <v>28</v>
      </c>
      <c r="DN4" s="3">
        <v>29</v>
      </c>
      <c r="DO4" s="3">
        <v>30</v>
      </c>
      <c r="DP4" s="3">
        <v>1</v>
      </c>
      <c r="DQ4" s="3">
        <v>2</v>
      </c>
      <c r="DR4" s="3">
        <v>3</v>
      </c>
      <c r="DS4" s="3">
        <v>4</v>
      </c>
      <c r="DT4" s="3">
        <v>5</v>
      </c>
      <c r="DU4" s="3">
        <v>6</v>
      </c>
      <c r="DV4" s="3">
        <v>7</v>
      </c>
      <c r="DW4" s="3">
        <v>8</v>
      </c>
      <c r="DX4" s="3">
        <v>9</v>
      </c>
      <c r="DY4" s="3">
        <v>10</v>
      </c>
      <c r="DZ4" s="3">
        <v>11</v>
      </c>
    </row>
    <row r="5" spans="1:130" ht="22.15" customHeight="1" x14ac:dyDescent="0.25">
      <c r="A5" s="35" t="s">
        <v>16</v>
      </c>
      <c r="B5" s="32"/>
      <c r="C5" s="32"/>
      <c r="D5" s="32"/>
      <c r="E5" s="32"/>
      <c r="F5" s="32"/>
      <c r="G5" s="32"/>
      <c r="H5" s="32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7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</row>
    <row r="6" spans="1:130" ht="19.899999999999999" customHeight="1" x14ac:dyDescent="0.25">
      <c r="A6" s="8">
        <v>1</v>
      </c>
      <c r="B6" s="9" t="s">
        <v>17</v>
      </c>
      <c r="C6" s="9" t="s">
        <v>18</v>
      </c>
      <c r="D6" s="10">
        <v>46246</v>
      </c>
      <c r="E6" s="10">
        <v>46248</v>
      </c>
      <c r="F6" s="11">
        <f>IF(COUNT($D6:$E6)=2,$E6-$D6+1,"")</f>
        <v>3</v>
      </c>
      <c r="G6" s="12">
        <f>IF($E6&lt;=$BF$2,1,IF($D6&gt;$BF$2,0,($BF$2-$D6+1)/($E6-$D6+1)))</f>
        <v>1</v>
      </c>
      <c r="H6" s="13" t="str">
        <f>IF($G6&gt;=1,"Completado",IF($G6&gt;=0.5,"En Progreso",IF($G6&gt;0,"Iniciada","Pendiente")))</f>
        <v>Completado</v>
      </c>
      <c r="I6" s="14"/>
      <c r="J6" s="14"/>
      <c r="K6" s="14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6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</row>
    <row r="7" spans="1:130" ht="19.899999999999999" customHeight="1" x14ac:dyDescent="0.25">
      <c r="A7" s="17">
        <v>2</v>
      </c>
      <c r="B7" s="18" t="s">
        <v>19</v>
      </c>
      <c r="C7" s="18" t="s">
        <v>20</v>
      </c>
      <c r="D7" s="19">
        <v>46249</v>
      </c>
      <c r="E7" s="19">
        <v>46255</v>
      </c>
      <c r="F7" s="20">
        <f>IF(COUNT($D7:$E7)=2,$E7-$D7+1,"")</f>
        <v>7</v>
      </c>
      <c r="G7" s="12">
        <f>IF($E7&lt;=$BF$2,1,IF($D7&gt;$BF$2,0,($BF$2-$D7+1)/($E7-$D7+1)))</f>
        <v>1</v>
      </c>
      <c r="H7" s="13" t="str">
        <f>IF($G7&gt;=1,"Completado",IF($G7&gt;=0.5,"En Progreso",IF($G7&gt;0,"Iniciada","Pendiente")))</f>
        <v>Completado</v>
      </c>
      <c r="I7" s="1"/>
      <c r="J7" s="1"/>
      <c r="K7" s="1"/>
      <c r="L7" s="14"/>
      <c r="M7" s="14"/>
      <c r="N7" s="14"/>
      <c r="O7" s="14"/>
      <c r="P7" s="14"/>
      <c r="Q7" s="14"/>
      <c r="R7" s="14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2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</row>
    <row r="8" spans="1:130" ht="19.899999999999999" customHeight="1" x14ac:dyDescent="0.25">
      <c r="A8" s="8">
        <v>3</v>
      </c>
      <c r="B8" s="29" t="s">
        <v>21</v>
      </c>
      <c r="C8" s="9" t="s">
        <v>18</v>
      </c>
      <c r="D8" s="10">
        <v>46252</v>
      </c>
      <c r="E8" s="10">
        <v>46262</v>
      </c>
      <c r="F8" s="11">
        <f>IF(COUNT($D8:$E8)=2,$E8-$D8+1,"")</f>
        <v>11</v>
      </c>
      <c r="G8" s="12">
        <f>IF($E8&lt;=$BF$2,1,IF($D8&gt;$BF$2,0,($BF$2-$D8+1)/($E8-$D8+1)))</f>
        <v>1</v>
      </c>
      <c r="H8" s="13" t="str">
        <f>IF($G8&gt;=1,"Completado",IF($G8&gt;=0.5,"En Progreso",IF($G8&gt;0,"Iniciada","Pendiente")))</f>
        <v>Completado</v>
      </c>
      <c r="I8" s="15"/>
      <c r="J8" s="15"/>
      <c r="K8" s="15"/>
      <c r="L8" s="15"/>
      <c r="M8" s="15"/>
      <c r="N8" s="15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6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</row>
    <row r="9" spans="1:130" ht="19.899999999999999" customHeight="1" x14ac:dyDescent="0.25">
      <c r="A9" s="17">
        <v>4</v>
      </c>
      <c r="B9" s="18" t="s">
        <v>22</v>
      </c>
      <c r="C9" s="18" t="s">
        <v>20</v>
      </c>
      <c r="D9" s="19">
        <v>46258</v>
      </c>
      <c r="E9" s="19">
        <v>46265</v>
      </c>
      <c r="F9" s="20">
        <f>IF(COUNT($D9:$E9)=2,$E9-$D9+1,"")</f>
        <v>8</v>
      </c>
      <c r="G9" s="12">
        <f>IF($E9&lt;=$BF$2,1,IF($D9&gt;$BF$2,0,($BF$2-$D9+1)/($E9-$D9+1)))</f>
        <v>1</v>
      </c>
      <c r="H9" s="13" t="str">
        <f>IF($G9&gt;=1,"Completado",IF($G9&gt;=0.5,"En Progreso",IF($G9&gt;0,"Iniciada","Pendiente")))</f>
        <v>Completado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4"/>
      <c r="V9" s="14"/>
      <c r="W9" s="14"/>
      <c r="X9" s="14"/>
      <c r="Y9" s="14"/>
      <c r="Z9" s="14"/>
      <c r="AA9" s="14"/>
      <c r="AB9" s="14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2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</row>
    <row r="10" spans="1:130" ht="22.15" customHeight="1" x14ac:dyDescent="0.25">
      <c r="A10" s="35" t="s">
        <v>23</v>
      </c>
      <c r="B10" s="32"/>
      <c r="C10" s="32"/>
      <c r="D10" s="32"/>
      <c r="E10" s="32"/>
      <c r="F10" s="32"/>
      <c r="G10" s="32"/>
      <c r="H10" s="32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7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</row>
    <row r="11" spans="1:130" ht="19.899999999999999" customHeight="1" x14ac:dyDescent="0.25">
      <c r="A11" s="17">
        <v>5</v>
      </c>
      <c r="B11" s="18" t="s">
        <v>24</v>
      </c>
      <c r="C11" s="18" t="s">
        <v>25</v>
      </c>
      <c r="D11" s="19">
        <v>46266</v>
      </c>
      <c r="E11" s="19">
        <v>46276</v>
      </c>
      <c r="F11" s="20">
        <f>IF(COUNT($D11:$E11)=2,$E11-$D11+1,"")</f>
        <v>11</v>
      </c>
      <c r="G11" s="12">
        <f>IF($E11&lt;=$BF$2,1,IF($D11&gt;$BF$2,0,($BF$2-$D11+1)/($E11-$D11+1)))</f>
        <v>1</v>
      </c>
      <c r="H11" s="13" t="str">
        <f>IF($G11&gt;=1,"Completado",IF($G11&gt;=0.5,"En Progreso",IF($G11&gt;0,"Iniciada","Pendiente")))</f>
        <v>Completado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2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</row>
    <row r="12" spans="1:130" ht="30" x14ac:dyDescent="0.25">
      <c r="A12" s="8">
        <v>6</v>
      </c>
      <c r="B12" s="9" t="s">
        <v>26</v>
      </c>
      <c r="C12" s="9" t="s">
        <v>27</v>
      </c>
      <c r="D12" s="10">
        <v>46266</v>
      </c>
      <c r="E12" s="10">
        <v>46276</v>
      </c>
      <c r="F12" s="11">
        <f>IF(COUNT($D12:$E12)=2,$E12-$D12+1,"")</f>
        <v>11</v>
      </c>
      <c r="G12" s="12">
        <f>IF($E12&lt;=$BF$2,1,IF($D12&gt;$BF$2,0,($BF$2-$D12+1)/($E12-$D12+1)))</f>
        <v>1</v>
      </c>
      <c r="H12" s="13" t="str">
        <f>IF($G12&gt;=1,"Completado",IF($G12&gt;=0.5,"En Progreso",IF($G12&gt;0,"Iniciada","Pendiente")))</f>
        <v>Completado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6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</row>
    <row r="13" spans="1:130" ht="19.899999999999999" customHeight="1" x14ac:dyDescent="0.25">
      <c r="A13" s="17">
        <v>7</v>
      </c>
      <c r="B13" s="18" t="s">
        <v>28</v>
      </c>
      <c r="C13" s="18" t="s">
        <v>20</v>
      </c>
      <c r="D13" s="19">
        <v>46273</v>
      </c>
      <c r="E13" s="19">
        <v>46283</v>
      </c>
      <c r="F13" s="20">
        <f>IF(COUNT($D13:$E13)=2,$E13-$D13+1,"")</f>
        <v>11</v>
      </c>
      <c r="G13" s="12">
        <f>IF($E13&lt;=$BF$2,1,IF($D13&gt;$BF$2,0,($BF$2-$D13+1)/($E13-$D13+1)))</f>
        <v>1</v>
      </c>
      <c r="H13" s="13" t="str">
        <f>IF($G13&gt;=1,"Completado",IF($G13&gt;=0.5,"En Progreso",IF($G13&gt;0,"Iniciada","Pendiente")))</f>
        <v>Completado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2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</row>
    <row r="14" spans="1:130" ht="30" x14ac:dyDescent="0.25">
      <c r="A14" s="8">
        <v>8</v>
      </c>
      <c r="B14" s="9" t="s">
        <v>29</v>
      </c>
      <c r="C14" s="9" t="s">
        <v>27</v>
      </c>
      <c r="D14" s="10">
        <v>46279</v>
      </c>
      <c r="E14" s="10">
        <v>46290</v>
      </c>
      <c r="F14" s="11">
        <f>IF(COUNT($D14:$E14)=2,$E14-$D14+1,"")</f>
        <v>12</v>
      </c>
      <c r="G14" s="12">
        <f>IF($E14&lt;=$BF$2,1,IF($D14&gt;$BF$2,0,($BF$2-$D14+1)/($E14-$D14+1)))</f>
        <v>1</v>
      </c>
      <c r="H14" s="13" t="str">
        <f>IF($G14&gt;=1,"Completado",IF($G14&gt;=0.5,"En Progreso",IF($G14&gt;0,"Iniciada","Pendiente")))</f>
        <v>Completado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6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</row>
    <row r="15" spans="1:130" ht="22.15" customHeight="1" x14ac:dyDescent="0.25">
      <c r="A15" s="35" t="s">
        <v>30</v>
      </c>
      <c r="B15" s="32"/>
      <c r="C15" s="32"/>
      <c r="D15" s="32"/>
      <c r="E15" s="32"/>
      <c r="F15" s="32"/>
      <c r="G15" s="32"/>
      <c r="H15" s="32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22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</row>
    <row r="16" spans="1:130" ht="19.899999999999999" customHeight="1" x14ac:dyDescent="0.25">
      <c r="A16" s="8">
        <v>9</v>
      </c>
      <c r="B16" s="9" t="s">
        <v>31</v>
      </c>
      <c r="C16" s="9" t="s">
        <v>20</v>
      </c>
      <c r="D16" s="10">
        <v>46286</v>
      </c>
      <c r="E16" s="10">
        <v>46295</v>
      </c>
      <c r="F16" s="11">
        <f>IF(COUNT($D16:$E16)=2,$E16-$D16+1,"")</f>
        <v>10</v>
      </c>
      <c r="G16" s="12">
        <f>IF($E16&lt;=$BF$2,1,IF($D16&gt;$BF$2,0,($BF$2-$D16+1)/($E16-$D16+1)))</f>
        <v>1</v>
      </c>
      <c r="H16" s="13" t="str">
        <f>IF($G16&gt;=1,"Completado",IF($G16&gt;=0.5,"En Progreso",IF($G16&gt;0,"Iniciada","Pendiente")))</f>
        <v>Completado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5"/>
      <c r="BH16" s="15"/>
      <c r="BI16" s="15"/>
      <c r="BJ16" s="15"/>
      <c r="BK16" s="15"/>
      <c r="BL16" s="15"/>
      <c r="BM16" s="16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</row>
    <row r="17" spans="1:130" ht="19.899999999999999" customHeight="1" x14ac:dyDescent="0.25">
      <c r="A17" s="17">
        <v>10</v>
      </c>
      <c r="B17" s="18" t="s">
        <v>32</v>
      </c>
      <c r="C17" s="18" t="s">
        <v>18</v>
      </c>
      <c r="D17" s="19">
        <v>46296</v>
      </c>
      <c r="E17" s="19">
        <v>46301</v>
      </c>
      <c r="F17" s="20">
        <f>IF(COUNT($D17:$E17)=2,$E17-$D17+1,"")</f>
        <v>6</v>
      </c>
      <c r="G17" s="12">
        <f>IF($E17&lt;=$BF$2,1,IF($D17&gt;$BF$2,0,($BF$2-$D17+1)/($E17-$D17+1)))</f>
        <v>1</v>
      </c>
      <c r="H17" s="13" t="str">
        <f>IF($G17&gt;=1,"Completado",IF($G17&gt;=0.5,"En Progreso",IF($G17&gt;0,"Iniciada","Pendiente")))</f>
        <v>Completado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4"/>
      <c r="BH17" s="14"/>
      <c r="BI17" s="14"/>
      <c r="BJ17" s="14"/>
      <c r="BK17" s="14"/>
      <c r="BL17" s="14"/>
      <c r="BM17" s="2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</row>
    <row r="18" spans="1:130" ht="19.899999999999999" customHeight="1" x14ac:dyDescent="0.25">
      <c r="A18" s="8">
        <v>11</v>
      </c>
      <c r="B18" s="9" t="s">
        <v>33</v>
      </c>
      <c r="C18" s="9" t="s">
        <v>18</v>
      </c>
      <c r="D18" s="10">
        <v>46302</v>
      </c>
      <c r="E18" s="10">
        <v>46302</v>
      </c>
      <c r="F18" s="11">
        <f>IF(COUNT($D18:$E18)=2,$E18-$D18+1,"")</f>
        <v>1</v>
      </c>
      <c r="G18" s="12">
        <f>IF($E18&lt;=$BF$2,1,IF($D18&gt;$BF$2,0,($BF$2-$D18+1)/($E18-$D18+1)))</f>
        <v>1</v>
      </c>
      <c r="H18" s="13" t="str">
        <f>IF($G18&gt;=1,"Completado",IF($G18&gt;=0.5,"En Progreso",IF($G18&gt;0,"Iniciada","Pendiente")))</f>
        <v>Completado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23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</row>
    <row r="19" spans="1:130" ht="22.15" customHeight="1" x14ac:dyDescent="0.25">
      <c r="A19" s="35" t="s">
        <v>34</v>
      </c>
      <c r="B19" s="32"/>
      <c r="C19" s="32"/>
      <c r="D19" s="32"/>
      <c r="E19" s="32"/>
      <c r="F19" s="32"/>
      <c r="G19" s="32"/>
      <c r="H19" s="32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22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</row>
    <row r="20" spans="1:130" ht="19.899999999999999" customHeight="1" x14ac:dyDescent="0.25">
      <c r="A20" s="8">
        <v>12</v>
      </c>
      <c r="B20" s="9" t="s">
        <v>35</v>
      </c>
      <c r="C20" s="9" t="s">
        <v>27</v>
      </c>
      <c r="D20" s="10">
        <v>46288</v>
      </c>
      <c r="E20" s="10">
        <v>46302</v>
      </c>
      <c r="F20" s="11">
        <f>IF(COUNT($D20:$E20)=2,$E20-$D20+1,"")</f>
        <v>15</v>
      </c>
      <c r="G20" s="12">
        <f>IF($E20&lt;=$BF$2,1,IF($D20&gt;$BF$2,0,($BF$2-$D20+1)/($E20-$D20+1)))</f>
        <v>1</v>
      </c>
      <c r="H20" s="13" t="str">
        <f>IF($G20&gt;=1,"Completado",IF($G20&gt;=0.5,"En Progreso",IF($G20&gt;0,"Iniciada","Pendiente")))</f>
        <v>Completado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23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</row>
    <row r="21" spans="1:130" ht="19.899999999999999" customHeight="1" x14ac:dyDescent="0.25">
      <c r="A21" s="17">
        <v>13</v>
      </c>
      <c r="B21" s="18" t="s">
        <v>36</v>
      </c>
      <c r="C21" s="18" t="s">
        <v>27</v>
      </c>
      <c r="D21" s="19">
        <v>46307</v>
      </c>
      <c r="E21" s="19">
        <v>46311</v>
      </c>
      <c r="F21" s="20">
        <f>IF(COUNT($D21:$E21)=2,$E21-$D21+1,"")</f>
        <v>5</v>
      </c>
      <c r="G21" s="24">
        <f>IF($E21&lt;=$BF$2,1,IF($D21&gt;$BF$2,0,($BF$2-$D21+1)/($E21-$D21+1)))</f>
        <v>0</v>
      </c>
      <c r="H21" s="25" t="str">
        <f>IF($G21&gt;=1,"Completado",IF($G21&gt;=0.5,"En Progreso",IF($G21&gt;0,"Iniciada","Pendiente")))</f>
        <v>Pendiente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21"/>
      <c r="BN21" s="1"/>
      <c r="BO21" s="1"/>
      <c r="BP21" s="1"/>
      <c r="BQ21" s="1"/>
      <c r="BR21" s="26"/>
      <c r="BS21" s="26"/>
      <c r="BT21" s="26"/>
      <c r="BU21" s="26"/>
      <c r="BV21" s="26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</row>
    <row r="22" spans="1:130" ht="19.899999999999999" customHeight="1" x14ac:dyDescent="0.25">
      <c r="A22" s="8">
        <v>14</v>
      </c>
      <c r="B22" s="29" t="s">
        <v>37</v>
      </c>
      <c r="C22" s="9" t="s">
        <v>25</v>
      </c>
      <c r="D22" s="10">
        <v>46309</v>
      </c>
      <c r="E22" s="10">
        <v>46315</v>
      </c>
      <c r="F22" s="11">
        <f>IF(COUNT($D22:$E22)=2,$E22-$D22+1,"")</f>
        <v>7</v>
      </c>
      <c r="G22" s="24">
        <f>IF($E22&lt;=$BF$2,1,IF($D22&gt;$BF$2,0,($BF$2-$D22+1)/($E22-$D22+1)))</f>
        <v>0</v>
      </c>
      <c r="H22" s="25" t="str">
        <f>IF($G22&gt;=1,"Completado",IF($G22&gt;=0.5,"En Progreso",IF($G22&gt;0,"Iniciada","Pendiente")))</f>
        <v>Pendiente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6"/>
      <c r="BN22" s="15"/>
      <c r="BO22" s="15"/>
      <c r="BP22" s="15"/>
      <c r="BQ22" s="15"/>
      <c r="BR22" s="15"/>
      <c r="BS22" s="15"/>
      <c r="BT22" s="26"/>
      <c r="BU22" s="26"/>
      <c r="BV22" s="26"/>
      <c r="BW22" s="26"/>
      <c r="BX22" s="26"/>
      <c r="BY22" s="26"/>
      <c r="BZ22" s="26"/>
      <c r="CA22" s="15"/>
      <c r="CB22" s="15"/>
      <c r="CC22" s="15"/>
      <c r="CD22" s="15"/>
      <c r="CE22" s="15"/>
      <c r="CF22" s="15"/>
      <c r="CG22" s="15"/>
      <c r="CH22" s="15"/>
      <c r="CI22" s="15"/>
      <c r="CJ22" s="15"/>
      <c r="CK22" s="15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</row>
    <row r="23" spans="1:130" ht="22.15" customHeight="1" x14ac:dyDescent="0.25">
      <c r="A23" s="35" t="s">
        <v>38</v>
      </c>
      <c r="B23" s="32"/>
      <c r="C23" s="32"/>
      <c r="D23" s="32"/>
      <c r="E23" s="32"/>
      <c r="F23" s="32"/>
      <c r="G23" s="32"/>
      <c r="H23" s="32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7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</row>
    <row r="24" spans="1:130" ht="19.899999999999999" customHeight="1" x14ac:dyDescent="0.25">
      <c r="A24" s="8">
        <v>15</v>
      </c>
      <c r="B24" s="9" t="s">
        <v>39</v>
      </c>
      <c r="C24" s="9" t="s">
        <v>25</v>
      </c>
      <c r="D24" s="10">
        <v>46314</v>
      </c>
      <c r="E24" s="10">
        <v>46318</v>
      </c>
      <c r="F24" s="11">
        <f>IF(COUNT($D24:$E24)=2,$E24-$D24+1,"")</f>
        <v>5</v>
      </c>
      <c r="G24" s="24">
        <f>IF($E24&lt;=$BF$2,1,IF($D24&gt;$BF$2,0,($BF$2-$D24+1)/($E24-$D24+1)))</f>
        <v>0</v>
      </c>
      <c r="H24" s="25" t="str">
        <f>IF($G24&gt;=1,"Completado",IF($G24&gt;=0.5,"En Progreso",IF($G24&gt;0,"Iniciada","Pendiente")))</f>
        <v>Pendiente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6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26"/>
      <c r="BZ24" s="26"/>
      <c r="CA24" s="26"/>
      <c r="CB24" s="26"/>
      <c r="CC24" s="26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</row>
    <row r="25" spans="1:130" ht="19.899999999999999" customHeight="1" x14ac:dyDescent="0.25">
      <c r="A25" s="17">
        <v>16</v>
      </c>
      <c r="B25" s="18" t="s">
        <v>40</v>
      </c>
      <c r="C25" s="18" t="s">
        <v>25</v>
      </c>
      <c r="D25" s="19">
        <v>46316</v>
      </c>
      <c r="E25" s="19">
        <v>46322</v>
      </c>
      <c r="F25" s="20">
        <f>IF(COUNT($D25:$E25)=2,$E25-$D25+1,"")</f>
        <v>7</v>
      </c>
      <c r="G25" s="24">
        <f>IF($E25&lt;=$BF$2,1,IF($D25&gt;$BF$2,0,($BF$2-$D25+1)/($E25-$D25+1)))</f>
        <v>0</v>
      </c>
      <c r="H25" s="25" t="str">
        <f>IF($G25&gt;=1,"Completado",IF($G25&gt;=0.5,"En Progreso",IF($G25&gt;0,"Iniciada","Pendiente")))</f>
        <v>Pendiente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2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26"/>
      <c r="CB25" s="26"/>
      <c r="CC25" s="26"/>
      <c r="CD25" s="26"/>
      <c r="CE25" s="26"/>
      <c r="CF25" s="26"/>
      <c r="CG25" s="26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</row>
    <row r="26" spans="1:130" ht="30" x14ac:dyDescent="0.25">
      <c r="A26" s="8">
        <v>17</v>
      </c>
      <c r="B26" s="9" t="s">
        <v>41</v>
      </c>
      <c r="C26" s="9" t="s">
        <v>25</v>
      </c>
      <c r="D26" s="10">
        <v>46321</v>
      </c>
      <c r="E26" s="10">
        <v>46325</v>
      </c>
      <c r="F26" s="11">
        <f>IF(COUNT($D26:$E26)=2,$E26-$D26+1,"")</f>
        <v>5</v>
      </c>
      <c r="G26" s="24">
        <f>IF($E26&lt;=$BF$2,1,IF($D26&gt;$BF$2,0,($BF$2-$D26+1)/($E26-$D26+1)))</f>
        <v>0</v>
      </c>
      <c r="H26" s="25" t="str">
        <f>IF($G26&gt;=1,"Completado",IF($G26&gt;=0.5,"En Progreso",IF($G26&gt;0,"Iniciada","Pendiente")))</f>
        <v>Pendiente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6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26"/>
      <c r="CG26" s="26"/>
      <c r="CH26" s="26"/>
      <c r="CI26" s="26"/>
      <c r="CJ26" s="26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</row>
    <row r="27" spans="1:130" ht="22.15" customHeight="1" x14ac:dyDescent="0.25">
      <c r="A27" s="35" t="s">
        <v>42</v>
      </c>
      <c r="B27" s="32"/>
      <c r="C27" s="32"/>
      <c r="D27" s="32"/>
      <c r="E27" s="32"/>
      <c r="F27" s="32"/>
      <c r="G27" s="32"/>
      <c r="H27" s="32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7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</row>
    <row r="28" spans="1:130" ht="30" x14ac:dyDescent="0.25">
      <c r="A28" s="8">
        <v>18</v>
      </c>
      <c r="B28" s="9" t="s">
        <v>43</v>
      </c>
      <c r="C28" s="9" t="s">
        <v>27</v>
      </c>
      <c r="D28" s="10">
        <v>46323</v>
      </c>
      <c r="E28" s="10">
        <v>46330</v>
      </c>
      <c r="F28" s="11">
        <f>IF(COUNT($D28:$E28)=2,$E28-$D28+1,"")</f>
        <v>8</v>
      </c>
      <c r="G28" s="24">
        <f>IF($E28&lt;=$BF$2,1,IF($D28&gt;$BF$2,0,($BF$2-$D28+1)/($E28-$D28+1)))</f>
        <v>0</v>
      </c>
      <c r="H28" s="25" t="str">
        <f>IF($G28&gt;=1,"Completado",IF($G28&gt;=0.5,"En Progreso",IF($G28&gt;0,"Iniciada","Pendiente")))</f>
        <v>Pendiente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6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26"/>
      <c r="CI28" s="26"/>
      <c r="CJ28" s="26"/>
      <c r="CK28" s="26"/>
      <c r="CL28" s="26"/>
      <c r="CM28" s="26"/>
      <c r="CN28" s="26"/>
      <c r="CO28" s="26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</row>
    <row r="29" spans="1:130" ht="19.899999999999999" customHeight="1" x14ac:dyDescent="0.25">
      <c r="A29" s="17">
        <v>19</v>
      </c>
      <c r="B29" s="18" t="s">
        <v>44</v>
      </c>
      <c r="C29" s="18" t="s">
        <v>27</v>
      </c>
      <c r="D29" s="19">
        <v>46328</v>
      </c>
      <c r="E29" s="19">
        <v>46332</v>
      </c>
      <c r="F29" s="20">
        <f>IF(COUNT($D29:$E29)=2,$E29-$D29+1,"")</f>
        <v>5</v>
      </c>
      <c r="G29" s="24">
        <f>IF($E29&lt;=$BF$2,1,IF($D29&gt;$BF$2,0,($BF$2-$D29+1)/($E29-$D29+1)))</f>
        <v>0</v>
      </c>
      <c r="H29" s="25" t="str">
        <f>IF($G29&gt;=1,"Completado",IF($G29&gt;=0.5,"En Progreso",IF($G29&gt;0,"Iniciada","Pendiente")))</f>
        <v>Pendiente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2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26"/>
      <c r="CN29" s="26"/>
      <c r="CO29" s="26"/>
      <c r="CP29" s="26"/>
      <c r="CQ29" s="26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</row>
    <row r="30" spans="1:130" ht="19.899999999999999" customHeight="1" x14ac:dyDescent="0.25">
      <c r="A30" s="8">
        <v>20</v>
      </c>
      <c r="B30" s="9" t="s">
        <v>45</v>
      </c>
      <c r="C30" s="9" t="s">
        <v>27</v>
      </c>
      <c r="D30" s="10">
        <v>46330</v>
      </c>
      <c r="E30" s="10">
        <v>46335</v>
      </c>
      <c r="F30" s="11">
        <f>IF(COUNT($D30:$E30)=2,$E30-$D30+1,"")</f>
        <v>6</v>
      </c>
      <c r="G30" s="24">
        <f>IF($E30&lt;=$BF$2,1,IF($D30&gt;$BF$2,0,($BF$2-$D30+1)/($E30-$D30+1)))</f>
        <v>0</v>
      </c>
      <c r="H30" s="25" t="str">
        <f>IF($G30&gt;=1,"Completado",IF($G30&gt;=0.5,"En Progreso",IF($G30&gt;0,"Iniciada","Pendiente")))</f>
        <v>Pendiente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6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  <c r="CO30" s="26"/>
      <c r="CP30" s="26"/>
      <c r="CQ30" s="26"/>
      <c r="CR30" s="26"/>
      <c r="CS30" s="26"/>
      <c r="CT30" s="26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</row>
    <row r="31" spans="1:130" ht="30" x14ac:dyDescent="0.25">
      <c r="A31" s="17">
        <v>21</v>
      </c>
      <c r="B31" s="18" t="s">
        <v>46</v>
      </c>
      <c r="C31" s="18" t="s">
        <v>47</v>
      </c>
      <c r="D31" s="19">
        <v>46335</v>
      </c>
      <c r="E31" s="19">
        <v>46339</v>
      </c>
      <c r="F31" s="20">
        <f>IF(COUNT($D31:$E31)=2,$E31-$D31+1,"")</f>
        <v>5</v>
      </c>
      <c r="G31" s="24">
        <f>IF($E31&lt;=$BF$2,1,IF($D31&gt;$BF$2,0,($BF$2-$D31+1)/($E31-$D31+1)))</f>
        <v>0</v>
      </c>
      <c r="H31" s="25" t="str">
        <f>IF($G31&gt;=1,"Completado",IF($G31&gt;=0.5,"En Progreso",IF($G31&gt;0,"Iniciada","Pendiente")))</f>
        <v>Pendiente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2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26"/>
      <c r="CU31" s="26"/>
      <c r="CV31" s="26"/>
      <c r="CW31" s="26"/>
      <c r="CX31" s="26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</row>
    <row r="32" spans="1:130" ht="22.15" customHeight="1" x14ac:dyDescent="0.25">
      <c r="A32" s="35" t="s">
        <v>48</v>
      </c>
      <c r="B32" s="32"/>
      <c r="C32" s="32"/>
      <c r="D32" s="32"/>
      <c r="E32" s="32"/>
      <c r="F32" s="32"/>
      <c r="G32" s="32"/>
      <c r="H32" s="32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7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</row>
    <row r="33" spans="1:130" ht="19.899999999999999" customHeight="1" x14ac:dyDescent="0.25">
      <c r="A33" s="17">
        <v>22</v>
      </c>
      <c r="B33" s="30" t="s">
        <v>49</v>
      </c>
      <c r="C33" s="18" t="s">
        <v>20</v>
      </c>
      <c r="D33" s="19">
        <v>46336</v>
      </c>
      <c r="E33" s="19">
        <v>46343</v>
      </c>
      <c r="F33" s="20">
        <f>IF(COUNT($D33:$E33)=2,$E33-$D33+1,"")</f>
        <v>8</v>
      </c>
      <c r="G33" s="24">
        <f>IF($E33&lt;=$BF$2,1,IF($D33&gt;$BF$2,0,($BF$2-$D33+1)/($E33-$D33+1)))</f>
        <v>0</v>
      </c>
      <c r="H33" s="25" t="str">
        <f>IF($G33&gt;=1,"Completado",IF($G33&gt;=0.5,"En Progreso",IF($G33&gt;0,"Iniciada","Pendiente")))</f>
        <v>Pendiente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2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26"/>
      <c r="CV33" s="26"/>
      <c r="CW33" s="26"/>
      <c r="CX33" s="26"/>
      <c r="CY33" s="26"/>
      <c r="CZ33" s="26"/>
      <c r="DA33" s="26"/>
      <c r="DB33" s="26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</row>
    <row r="34" spans="1:130" ht="19.899999999999999" customHeight="1" x14ac:dyDescent="0.25">
      <c r="A34" s="8">
        <v>23</v>
      </c>
      <c r="B34" s="9" t="s">
        <v>50</v>
      </c>
      <c r="C34" s="9" t="s">
        <v>20</v>
      </c>
      <c r="D34" s="10">
        <v>46342</v>
      </c>
      <c r="E34" s="10">
        <v>46346</v>
      </c>
      <c r="F34" s="11">
        <f>IF(COUNT($D34:$E34)=2,$E34-$D34+1,"")</f>
        <v>5</v>
      </c>
      <c r="G34" s="24">
        <f>IF($E34&lt;=$BF$2,1,IF($D34&gt;$BF$2,0,($BF$2-$D34+1)/($E34-$D34+1)))</f>
        <v>0</v>
      </c>
      <c r="H34" s="25" t="str">
        <f>IF($G34&gt;=1,"Completado",IF($G34&gt;=0.5,"En Progreso",IF($G34&gt;0,"Iniciada","Pendiente")))</f>
        <v>Pendiente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6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26"/>
      <c r="DB34" s="26"/>
      <c r="DC34" s="26"/>
      <c r="DD34" s="26"/>
      <c r="DE34" s="26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</row>
    <row r="35" spans="1:130" ht="19.899999999999999" customHeight="1" x14ac:dyDescent="0.25">
      <c r="A35" s="17">
        <v>24</v>
      </c>
      <c r="B35" s="18" t="s">
        <v>51</v>
      </c>
      <c r="C35" s="18" t="s">
        <v>20</v>
      </c>
      <c r="D35" s="19">
        <v>46344</v>
      </c>
      <c r="E35" s="19">
        <v>46349</v>
      </c>
      <c r="F35" s="20">
        <f>IF(COUNT($D35:$E35)=2,$E35-$D35+1,"")</f>
        <v>6</v>
      </c>
      <c r="G35" s="24">
        <f>IF($E35&lt;=$BF$2,1,IF($D35&gt;$BF$2,0,($BF$2-$D35+1)/($E35-$D35+1)))</f>
        <v>0</v>
      </c>
      <c r="H35" s="25" t="str">
        <f>IF($G35&gt;=1,"Completado",IF($G35&gt;=0.5,"En Progreso",IF($G35&gt;0,"Iniciada","Pendiente")))</f>
        <v>Pendiente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2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26"/>
      <c r="DD35" s="26"/>
      <c r="DE35" s="26"/>
      <c r="DF35" s="26"/>
      <c r="DG35" s="26"/>
      <c r="DH35" s="26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</row>
    <row r="36" spans="1:130" ht="19.899999999999999" customHeight="1" x14ac:dyDescent="0.25">
      <c r="A36" s="8">
        <v>25</v>
      </c>
      <c r="B36" s="9" t="s">
        <v>52</v>
      </c>
      <c r="C36" s="9" t="s">
        <v>20</v>
      </c>
      <c r="D36" s="10">
        <v>46346</v>
      </c>
      <c r="E36" s="10">
        <v>46351</v>
      </c>
      <c r="F36" s="11">
        <f>IF(COUNT($D36:$E36)=2,$E36-$D36+1,"")</f>
        <v>6</v>
      </c>
      <c r="G36" s="24">
        <f>IF($E36&lt;=$BF$2,1,IF($D36&gt;$BF$2,0,($BF$2-$D36+1)/($E36-$D36+1)))</f>
        <v>0</v>
      </c>
      <c r="H36" s="25" t="str">
        <f>IF($G36&gt;=1,"Completado",IF($G36&gt;=0.5,"En Progreso",IF($G36&gt;0,"Iniciada","Pendiente")))</f>
        <v>Pendiente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6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26"/>
      <c r="DF36" s="26"/>
      <c r="DG36" s="26"/>
      <c r="DH36" s="26"/>
      <c r="DI36" s="26"/>
      <c r="DJ36" s="26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</row>
    <row r="37" spans="1:130" ht="19.899999999999999" customHeight="1" x14ac:dyDescent="0.25">
      <c r="A37" s="17">
        <v>26</v>
      </c>
      <c r="B37" s="18" t="s">
        <v>53</v>
      </c>
      <c r="C37" s="18" t="s">
        <v>20</v>
      </c>
      <c r="D37" s="19">
        <v>46350</v>
      </c>
      <c r="E37" s="19">
        <v>46353</v>
      </c>
      <c r="F37" s="20">
        <f>IF(COUNT($D37:$E37)=2,$E37-$D37+1,"")</f>
        <v>4</v>
      </c>
      <c r="G37" s="24">
        <f>IF($E37&lt;=$BF$2,1,IF($D37&gt;$BF$2,0,($BF$2-$D37+1)/($E37-$D37+1)))</f>
        <v>0</v>
      </c>
      <c r="H37" s="25" t="str">
        <f>IF($G37&gt;=1,"Completado",IF($G37&gt;=0.5,"En Progreso",IF($G37&gt;0,"Iniciada","Pendiente")))</f>
        <v>Pendiente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2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26"/>
      <c r="DJ37" s="26"/>
      <c r="DK37" s="26"/>
      <c r="DL37" s="26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</row>
    <row r="38" spans="1:130" ht="22.15" customHeight="1" x14ac:dyDescent="0.25">
      <c r="A38" s="35" t="s">
        <v>54</v>
      </c>
      <c r="B38" s="32"/>
      <c r="C38" s="32"/>
      <c r="D38" s="32"/>
      <c r="E38" s="32"/>
      <c r="F38" s="32"/>
      <c r="G38" s="32"/>
      <c r="H38" s="32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7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6"/>
      <c r="DV38" s="6"/>
      <c r="DW38" s="6"/>
      <c r="DX38" s="6"/>
      <c r="DY38" s="6"/>
      <c r="DZ38" s="6"/>
    </row>
    <row r="39" spans="1:130" ht="19.899999999999999" customHeight="1" x14ac:dyDescent="0.25">
      <c r="A39" s="17">
        <v>27</v>
      </c>
      <c r="B39" s="18" t="s">
        <v>55</v>
      </c>
      <c r="C39" s="18" t="s">
        <v>25</v>
      </c>
      <c r="D39" s="19">
        <v>46349</v>
      </c>
      <c r="E39" s="19">
        <v>46353</v>
      </c>
      <c r="F39" s="20">
        <f>IF(COUNT($D39:$E39)=2,$E39-$D39+1,"")</f>
        <v>5</v>
      </c>
      <c r="G39" s="24">
        <f>IF($E39&lt;=$BF$2,1,IF($D39&gt;$BF$2,0,($BF$2-$D39+1)/($E39-$D39+1)))</f>
        <v>0</v>
      </c>
      <c r="H39" s="25" t="str">
        <f>IF($G39&gt;=1,"Completado",IF($G39&gt;=0.5,"En Progreso",IF($G39&gt;0,"Iniciada","Pendiente")))</f>
        <v>Pendiente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2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26"/>
      <c r="DI39" s="26"/>
      <c r="DJ39" s="26"/>
      <c r="DK39" s="26"/>
      <c r="DL39" s="26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</row>
    <row r="40" spans="1:130" ht="30" x14ac:dyDescent="0.25">
      <c r="A40" s="8">
        <v>28</v>
      </c>
      <c r="B40" s="9" t="s">
        <v>56</v>
      </c>
      <c r="C40" s="9" t="s">
        <v>25</v>
      </c>
      <c r="D40" s="10">
        <v>46353</v>
      </c>
      <c r="E40" s="10">
        <v>46358</v>
      </c>
      <c r="F40" s="11">
        <f>IF(COUNT($D40:$E40)=2,$E40-$D40+1,"")</f>
        <v>6</v>
      </c>
      <c r="G40" s="24">
        <f>IF($E40&lt;=$BF$2,1,IF($D40&gt;$BF$2,0,($BF$2-$D40+1)/($E40-$D40+1)))</f>
        <v>0</v>
      </c>
      <c r="H40" s="25" t="str">
        <f>IF($G40&gt;=1,"Completado",IF($G40&gt;=0.5,"En Progreso",IF($G40&gt;0,"Iniciada","Pendiente")))</f>
        <v>Pendiente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6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26"/>
      <c r="DM40" s="26"/>
      <c r="DN40" s="26"/>
      <c r="DO40" s="26"/>
      <c r="DP40" s="26"/>
      <c r="DQ40" s="26"/>
      <c r="DR40" s="15"/>
      <c r="DS40" s="15"/>
      <c r="DT40" s="15"/>
      <c r="DU40" s="15"/>
      <c r="DV40" s="15"/>
      <c r="DW40" s="15"/>
      <c r="DX40" s="15"/>
      <c r="DY40" s="15"/>
      <c r="DZ40" s="15"/>
    </row>
    <row r="41" spans="1:130" ht="30" x14ac:dyDescent="0.25">
      <c r="A41" s="17">
        <v>29</v>
      </c>
      <c r="B41" s="18" t="s">
        <v>57</v>
      </c>
      <c r="C41" s="18" t="s">
        <v>58</v>
      </c>
      <c r="D41" s="19">
        <v>46357</v>
      </c>
      <c r="E41" s="19">
        <v>46360</v>
      </c>
      <c r="F41" s="20">
        <f>IF(COUNT($D41:$E41)=2,$E41-$D41+1,"")</f>
        <v>4</v>
      </c>
      <c r="G41" s="24">
        <f>IF($E41&lt;=$BF$2,1,IF($D41&gt;$BF$2,0,($BF$2-$D41+1)/($E41-$D41+1)))</f>
        <v>0</v>
      </c>
      <c r="H41" s="25" t="str">
        <f>IF($G41&gt;=1,"Completado",IF($G41&gt;=0.5,"En Progreso",IF($G41&gt;0,"Iniciada","Pendiente")))</f>
        <v>Pendiente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2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26"/>
      <c r="DQ41" s="26"/>
      <c r="DR41" s="26"/>
      <c r="DS41" s="26"/>
      <c r="DT41" s="1"/>
      <c r="DU41" s="1"/>
      <c r="DV41" s="1"/>
      <c r="DW41" s="1"/>
      <c r="DX41" s="1"/>
      <c r="DY41" s="1"/>
      <c r="DZ41" s="1"/>
    </row>
    <row r="42" spans="1:130" ht="30" x14ac:dyDescent="0.25">
      <c r="A42" s="8">
        <v>30</v>
      </c>
      <c r="B42" s="9" t="s">
        <v>59</v>
      </c>
      <c r="C42" s="9" t="s">
        <v>27</v>
      </c>
      <c r="D42" s="10">
        <v>46359</v>
      </c>
      <c r="E42" s="10">
        <v>46361</v>
      </c>
      <c r="F42" s="11">
        <f>IF(COUNT($D42:$E42)=2,$E42-$D42+1,"")</f>
        <v>3</v>
      </c>
      <c r="G42" s="24">
        <f>IF($E42&lt;=$BF$2,1,IF($D42&gt;$BF$2,0,($BF$2-$D42+1)/($E42-$D42+1)))</f>
        <v>0</v>
      </c>
      <c r="H42" s="25" t="str">
        <f>IF($G42&gt;=1,"Completado",IF($G42&gt;=0.5,"En Progreso",IF($G42&gt;0,"Iniciada","Pendiente")))</f>
        <v>Pendiente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6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26"/>
      <c r="DS42" s="26"/>
      <c r="DT42" s="26"/>
      <c r="DU42" s="15"/>
      <c r="DV42" s="15"/>
      <c r="DW42" s="15"/>
      <c r="DX42" s="15"/>
      <c r="DY42" s="15"/>
      <c r="DZ42" s="15"/>
    </row>
    <row r="43" spans="1:130" ht="22.15" customHeight="1" x14ac:dyDescent="0.25">
      <c r="A43" s="35" t="s">
        <v>60</v>
      </c>
      <c r="B43" s="32"/>
      <c r="C43" s="32"/>
      <c r="D43" s="32"/>
      <c r="E43" s="32"/>
      <c r="F43" s="32"/>
      <c r="G43" s="32"/>
      <c r="H43" s="32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7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</row>
    <row r="44" spans="1:130" ht="19.899999999999999" customHeight="1" x14ac:dyDescent="0.25">
      <c r="A44" s="8">
        <v>31</v>
      </c>
      <c r="B44" s="9" t="s">
        <v>61</v>
      </c>
      <c r="C44" s="9" t="s">
        <v>20</v>
      </c>
      <c r="D44" s="10">
        <v>46356</v>
      </c>
      <c r="E44" s="10">
        <v>46360</v>
      </c>
      <c r="F44" s="11">
        <f t="shared" ref="F44:F49" si="0">IF(COUNT($D44:$E44)=2,$E44-$D44+1,"")</f>
        <v>5</v>
      </c>
      <c r="G44" s="24">
        <f t="shared" ref="G44:G49" si="1">IF($E44&lt;=$BF$2,1,IF($D44&gt;$BF$2,0,($BF$2-$D44+1)/($E44-$D44+1)))</f>
        <v>0</v>
      </c>
      <c r="H44" s="25" t="str">
        <f t="shared" ref="H44:H49" si="2">IF($G44&gt;=1,"Completado",IF($G44&gt;=0.5,"En Progreso",IF($G44&gt;0,"Iniciada","Pendiente")))</f>
        <v>Pendiente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6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26"/>
      <c r="DP44" s="26"/>
      <c r="DQ44" s="26"/>
      <c r="DR44" s="26"/>
      <c r="DS44" s="26"/>
      <c r="DT44" s="15"/>
      <c r="DU44" s="15"/>
      <c r="DV44" s="15"/>
      <c r="DW44" s="15"/>
      <c r="DX44" s="15"/>
      <c r="DY44" s="15"/>
      <c r="DZ44" s="15"/>
    </row>
    <row r="45" spans="1:130" ht="19.899999999999999" customHeight="1" x14ac:dyDescent="0.25">
      <c r="A45" s="17">
        <v>32</v>
      </c>
      <c r="B45" s="18" t="s">
        <v>62</v>
      </c>
      <c r="C45" s="18" t="s">
        <v>25</v>
      </c>
      <c r="D45" s="19">
        <v>46359</v>
      </c>
      <c r="E45" s="19">
        <v>46363</v>
      </c>
      <c r="F45" s="20">
        <f t="shared" si="0"/>
        <v>5</v>
      </c>
      <c r="G45" s="24">
        <f t="shared" si="1"/>
        <v>0</v>
      </c>
      <c r="H45" s="25" t="str">
        <f t="shared" si="2"/>
        <v>Pendiente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2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26"/>
      <c r="DS45" s="26"/>
      <c r="DT45" s="26"/>
      <c r="DU45" s="26"/>
      <c r="DV45" s="26"/>
      <c r="DW45" s="1"/>
      <c r="DX45" s="1"/>
      <c r="DY45" s="1"/>
      <c r="DZ45" s="1"/>
    </row>
    <row r="46" spans="1:130" ht="19.899999999999999" customHeight="1" x14ac:dyDescent="0.25">
      <c r="A46" s="8">
        <v>33</v>
      </c>
      <c r="B46" s="9" t="s">
        <v>63</v>
      </c>
      <c r="C46" s="9" t="s">
        <v>27</v>
      </c>
      <c r="D46" s="10">
        <v>46360</v>
      </c>
      <c r="E46" s="10">
        <v>46364</v>
      </c>
      <c r="F46" s="11">
        <f t="shared" si="0"/>
        <v>5</v>
      </c>
      <c r="G46" s="24">
        <f t="shared" si="1"/>
        <v>0</v>
      </c>
      <c r="H46" s="25" t="str">
        <f t="shared" si="2"/>
        <v>Pendiente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6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26"/>
      <c r="DT46" s="26"/>
      <c r="DU46" s="26"/>
      <c r="DV46" s="26"/>
      <c r="DW46" s="26"/>
      <c r="DX46" s="15"/>
      <c r="DY46" s="15"/>
      <c r="DZ46" s="15"/>
    </row>
    <row r="47" spans="1:130" ht="19.899999999999999" customHeight="1" x14ac:dyDescent="0.25">
      <c r="A47" s="17">
        <v>34</v>
      </c>
      <c r="B47" s="18" t="s">
        <v>64</v>
      </c>
      <c r="C47" s="18" t="s">
        <v>20</v>
      </c>
      <c r="D47" s="19">
        <v>46363</v>
      </c>
      <c r="E47" s="19">
        <v>46365</v>
      </c>
      <c r="F47" s="20">
        <f t="shared" si="0"/>
        <v>3</v>
      </c>
      <c r="G47" s="24">
        <f t="shared" si="1"/>
        <v>0</v>
      </c>
      <c r="H47" s="25" t="str">
        <f t="shared" si="2"/>
        <v>Pendiente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2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26"/>
      <c r="DW47" s="26"/>
      <c r="DX47" s="26"/>
      <c r="DY47" s="1"/>
      <c r="DZ47" s="1"/>
    </row>
    <row r="48" spans="1:130" ht="19.899999999999999" customHeight="1" x14ac:dyDescent="0.25">
      <c r="A48" s="8">
        <v>35</v>
      </c>
      <c r="B48" s="9" t="s">
        <v>65</v>
      </c>
      <c r="C48" s="9" t="s">
        <v>18</v>
      </c>
      <c r="D48" s="10">
        <v>46365</v>
      </c>
      <c r="E48" s="10">
        <v>46366</v>
      </c>
      <c r="F48" s="11">
        <f t="shared" si="0"/>
        <v>2</v>
      </c>
      <c r="G48" s="24">
        <f t="shared" si="1"/>
        <v>0</v>
      </c>
      <c r="H48" s="25" t="str">
        <f t="shared" si="2"/>
        <v>Pendiente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6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26"/>
      <c r="DY48" s="26"/>
      <c r="DZ48" s="15"/>
    </row>
    <row r="49" spans="1:130" ht="19.899999999999999" customHeight="1" x14ac:dyDescent="0.25">
      <c r="A49" s="17">
        <v>36</v>
      </c>
      <c r="B49" s="18" t="s">
        <v>66</v>
      </c>
      <c r="C49" s="18" t="s">
        <v>18</v>
      </c>
      <c r="D49" s="19">
        <v>46367</v>
      </c>
      <c r="E49" s="19">
        <v>46367</v>
      </c>
      <c r="F49" s="20">
        <f t="shared" si="0"/>
        <v>1</v>
      </c>
      <c r="G49" s="24">
        <f t="shared" si="1"/>
        <v>0</v>
      </c>
      <c r="H49" s="25" t="str">
        <f t="shared" si="2"/>
        <v>Pendiente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2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26"/>
    </row>
    <row r="51" spans="1:130" ht="22.15" customHeight="1" x14ac:dyDescent="0.25">
      <c r="A51" s="27" t="s">
        <v>67</v>
      </c>
      <c r="B51" s="13" t="s">
        <v>68</v>
      </c>
      <c r="C51" s="28" t="s">
        <v>69</v>
      </c>
      <c r="D51" s="36" t="s">
        <v>70</v>
      </c>
      <c r="E51" s="37"/>
      <c r="F51" s="37"/>
      <c r="G51" s="41" t="s">
        <v>71</v>
      </c>
      <c r="H51" s="42"/>
      <c r="I51" s="43" t="s">
        <v>72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</row>
  </sheetData>
  <mergeCells count="21">
    <mergeCell ref="D51:F51"/>
    <mergeCell ref="A3:H3"/>
    <mergeCell ref="BG3:CK3"/>
    <mergeCell ref="A2:H2"/>
    <mergeCell ref="I3:AB3"/>
    <mergeCell ref="BF2:BT2"/>
    <mergeCell ref="A5:H5"/>
    <mergeCell ref="A23:H23"/>
    <mergeCell ref="A32:H32"/>
    <mergeCell ref="G51:H51"/>
    <mergeCell ref="A43:H43"/>
    <mergeCell ref="A38:H38"/>
    <mergeCell ref="A10:H10"/>
    <mergeCell ref="A19:H19"/>
    <mergeCell ref="I51:AN51"/>
    <mergeCell ref="A15:H15"/>
    <mergeCell ref="AC3:BF3"/>
    <mergeCell ref="A1:H1"/>
    <mergeCell ref="DP3:DZ3"/>
    <mergeCell ref="A27:H27"/>
    <mergeCell ref="CL3:DO3"/>
  </mergeCells>
  <conditionalFormatting sqref="G6:G9 G11:G14 G16:G18 G20:G22 G24:G26 G28:G31 G33:G37 G39:G42 G44:G49">
    <cfRule type="cellIs" dxfId="7" priority="5" operator="equal">
      <formula>1</formula>
    </cfRule>
    <cfRule type="cellIs" dxfId="6" priority="6" operator="between">
      <formula>0.5</formula>
      <formula>0.99</formula>
    </cfRule>
    <cfRule type="cellIs" dxfId="5" priority="7" operator="between">
      <formula>0.01</formula>
      <formula>0.49</formula>
    </cfRule>
    <cfRule type="cellIs" dxfId="4" priority="8" operator="equal">
      <formula>0</formula>
    </cfRule>
  </conditionalFormatting>
  <conditionalFormatting sqref="H6:H9 H11:H14 H16:H18 H20:H22 H24:H26 H28:H31 H33:H37 H39:H42 H44:H49">
    <cfRule type="cellIs" dxfId="3" priority="1" operator="equal">
      <formula>"Completado"</formula>
    </cfRule>
    <cfRule type="cellIs" dxfId="2" priority="2" operator="equal">
      <formula>"En Progreso"</formula>
    </cfRule>
    <cfRule type="cellIs" dxfId="1" priority="3" operator="equal">
      <formula>"Iniciada"</formula>
    </cfRule>
    <cfRule type="cellIs" dxfId="0" priority="4" operator="equal">
      <formula>"Pendiente"</formula>
    </cfRule>
  </conditionalFormatting>
  <printOptions horizontalCentered="1"/>
  <pageMargins left="0.25" right="0.25" top="0.4" bottom="0.4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Diagrama de Gantt</vt:lpstr>
      <vt:lpstr>'Diagrama de Gantt'!Títulos_a_imprimir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202300698@est.umss.edu</cp:lastModifiedBy>
  <dcterms:created xsi:type="dcterms:W3CDTF">2026-01-20T18:05:33Z</dcterms:created>
  <dcterms:modified xsi:type="dcterms:W3CDTF">2026-10-07T14:33:07Z</dcterms:modified>
</cp:coreProperties>
</file>