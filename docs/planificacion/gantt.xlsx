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iagrama de Gantt" sheetId="1" state="visible" r:id="rId1"/>
  </sheets>
  <definedNames>
    <definedName name="_xlnm.Print_Titles" localSheetId="0">'Diagrama de Gantt'!$1:$4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[=1]0&quot; día&quot;;0&quot; días&quot;"/>
    <numFmt numFmtId="166" formatCode="&quot;ACTUALIZACIÓN / REVISIÓN: &quot;dd/mm/yyyy"/>
  </numFmts>
  <fonts count="15">
    <font>
      <name val="Calibri"/>
      <family val="2"/>
      <color theme="1"/>
      <sz val="11"/>
      <scheme val="minor"/>
    </font>
    <font>
      <name val="Calibri"/>
      <b val="1"/>
      <color rgb="FF1E3A8A"/>
      <sz val="16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065F46"/>
      <sz val="9"/>
    </font>
    <font>
      <name val="Calibri"/>
      <b val="1"/>
      <color rgb="FFFFFFFF"/>
      <sz val="9"/>
    </font>
    <font>
      <name val="Calibri"/>
      <b val="1"/>
      <color rgb="FF1E40AF"/>
      <sz val="9"/>
    </font>
    <font>
      <name val="Calibri"/>
      <b val="1"/>
      <color rgb="FF92400E"/>
      <sz val="9"/>
    </font>
    <font>
      <name val="Calibri"/>
      <color rgb="FF6B7280"/>
      <sz val="10"/>
    </font>
    <font>
      <name val="Calibri"/>
      <sz val="11"/>
    </font>
    <font>
      <name val="Calibri"/>
      <b val="1"/>
      <color rgb="FF374151"/>
      <sz val="9"/>
    </font>
    <font>
      <name val="Calibri"/>
      <b val="1"/>
      <color rgb="FF1E3A8A"/>
      <sz val="10"/>
    </font>
    <font>
      <name val="Calibri"/>
      <b val="1"/>
      <color rgb="FF9A3412"/>
      <sz val="9"/>
    </font>
    <font>
      <name val="Calibri"/>
      <family val="2"/>
      <sz val="10"/>
    </font>
  </fonts>
  <fills count="13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D1FAE5"/>
        <bgColor rgb="FFD1FAE5"/>
      </patternFill>
    </fill>
    <fill>
      <patternFill patternType="solid">
        <fgColor rgb="FF10B981"/>
        <bgColor rgb="FF10B981"/>
      </patternFill>
    </fill>
    <fill>
      <patternFill patternType="solid">
        <fgColor rgb="FFFEF3C7"/>
        <bgColor rgb="FFFEF3C7"/>
      </patternFill>
    </fill>
    <fill>
      <patternFill patternType="solid">
        <fgColor rgb="FFE5E7EB"/>
        <bgColor rgb="FFE5E7EB"/>
      </patternFill>
    </fill>
    <fill>
      <patternFill patternType="solid">
        <fgColor rgb="FF2563EB"/>
        <bgColor rgb="FF2563EB"/>
      </patternFill>
    </fill>
    <fill>
      <patternFill patternType="solid">
        <fgColor rgb="FFEA580C"/>
        <bgColor rgb="FFEA580C"/>
      </patternFill>
    </fill>
    <fill>
      <patternFill patternType="solid">
        <fgColor rgb="FFFED7AA"/>
        <bgColor rgb="FFFED7AA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EA580C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4" borderId="2" pivotButton="0" quotePrefix="0" xfId="0"/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164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5" borderId="1" pivotButton="0" quotePrefix="0" xfId="0"/>
    <xf numFmtId="0" fontId="0" fillId="5" borderId="2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2" pivotButton="0" quotePrefix="0" xfId="0"/>
    <xf numFmtId="0" fontId="0" fillId="7" borderId="2" pivotButton="0" quotePrefix="0" xfId="0"/>
    <xf numFmtId="9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2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9" fillId="0" borderId="0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8" fillId="8" borderId="1" applyAlignment="1" pivotButton="0" quotePrefix="0" xfId="0">
      <alignment horizontal="center" vertical="center"/>
    </xf>
    <xf numFmtId="0" fontId="0" fillId="8" borderId="1" pivotButton="0" quotePrefix="0" xfId="0"/>
    <xf numFmtId="166" fontId="8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ont>
        <b val="1"/>
        <color rgb="FF374151"/>
      </font>
      <fill>
        <patternFill>
          <bgColor rgb="FFE5E7EB"/>
        </patternFill>
      </fill>
    </dxf>
    <dxf>
      <font>
        <b val="1"/>
        <color rgb="FF9A3412"/>
      </font>
      <fill>
        <patternFill>
          <bgColor rgb="FFFED7AA"/>
        </patternFill>
      </fill>
    </dxf>
    <dxf>
      <font>
        <b val="1"/>
        <color rgb="FF1E40AF"/>
      </font>
      <fill>
        <patternFill>
          <bgColor rgb="FFDBEAFE"/>
        </patternFill>
      </fill>
    </dxf>
    <dxf>
      <font>
        <b val="1"/>
        <color rgb="FF065F46"/>
      </font>
      <fill>
        <patternFill>
          <bgColor rgb="FFD1FAE5"/>
        </patternFill>
      </fill>
    </dxf>
    <dxf>
      <font>
        <b val="1"/>
        <color rgb="FF374151"/>
      </font>
      <fill>
        <patternFill>
          <bgColor rgb="FFE5E7EB"/>
        </patternFill>
      </fill>
    </dxf>
    <dxf>
      <font>
        <b val="1"/>
        <color rgb="FFFFFFFF"/>
      </font>
      <fill>
        <patternFill>
          <bgColor rgb="FFF59E0B"/>
        </patternFill>
      </fill>
    </dxf>
    <dxf>
      <font>
        <b val="1"/>
        <color rgb="FFFFFFFF"/>
      </font>
      <fill>
        <patternFill>
          <bgColor rgb="FF3B82F6"/>
        </patternFill>
      </fill>
    </dxf>
    <dxf>
      <font>
        <b val="1"/>
        <color rgb="FFFFFFFF"/>
      </font>
      <fill>
        <patternFill>
          <bgColor rgb="FF10B98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C55"/>
  <sheetViews>
    <sheetView tabSelected="1" zoomScale="82" workbookViewId="0">
      <pane xSplit="8" ySplit="4" topLeftCell="BY26" activePane="bottomRight" state="frozen"/>
      <selection pane="topRight" activeCell="A1" sqref="A1"/>
      <selection pane="bottomLeft" activeCell="A1" sqref="A1"/>
      <selection pane="bottomRight" activeCell="A32" sqref="A32:H32"/>
    </sheetView>
  </sheetViews>
  <sheetFormatPr baseColWidth="10" defaultColWidth="8.85546875" defaultRowHeight="15"/>
  <cols>
    <col width="5" customWidth="1" style="32" min="1" max="1"/>
    <col width="46" customWidth="1" style="32" min="2" max="2"/>
    <col width="30" customWidth="1" style="32" min="3" max="3"/>
    <col width="12" customWidth="1" style="32" min="4" max="5"/>
    <col width="10" customWidth="1" style="32" min="6" max="7"/>
    <col width="13" customWidth="1" style="32" min="8" max="8"/>
    <col width="15" customWidth="1" style="32" min="9" max="130"/>
    <col width="30" customWidth="1" style="32" min="10" max="10"/>
    <col width="15" customWidth="1" style="32" min="11" max="11"/>
  </cols>
  <sheetData>
    <row r="1" ht="34.9" customHeight="1" s="32">
      <c r="A1" s="33" t="inlineStr">
        <is>
          <t>DIAGRAMA DE GANTT - PLATAFORMA DE MONITOREO Y OBSERVABILIDAD DE INFRAESTRUCTURA TI</t>
        </is>
      </c>
    </row>
    <row r="2" ht="19.9" customHeight="1" s="32">
      <c r="A2" s="38" t="inlineStr">
        <is>
          <t>Generado: 14/10/2026  |  Equipo: ByteCraft Solutions  |  Período: 12/08/2026 - 11/12/2026</t>
        </is>
      </c>
      <c r="BI2" s="45" t="n">
        <v>46302</v>
      </c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7" t="n"/>
    </row>
    <row r="3" ht="19.9" customHeight="1" s="32">
      <c r="A3" s="34" t="inlineStr">
        <is>
          <t>CRONOGRAMA DEL PROYECTO: 12/08/2026 - 11/12/2026</t>
        </is>
      </c>
      <c r="L3" s="34" t="inlineStr">
        <is>
          <t>AGOSTO 2026</t>
        </is>
      </c>
      <c r="AF3" s="31" t="inlineStr">
        <is>
          <t>SEPTIEMBRE 2026</t>
        </is>
      </c>
      <c r="BJ3" s="34" t="inlineStr">
        <is>
          <t>OCTUBRE 2026</t>
        </is>
      </c>
      <c r="CO3" s="31" t="inlineStr">
        <is>
          <t>NOVIEMBRE 2026</t>
        </is>
      </c>
      <c r="DS3" s="34" t="inlineStr">
        <is>
          <t>DICIEMBRE 2026</t>
        </is>
      </c>
    </row>
    <row r="4" ht="25.15" customHeight="1" s="32">
      <c r="A4" s="2" t="inlineStr">
        <is>
          <t>ID</t>
        </is>
      </c>
      <c r="B4" s="2" t="inlineStr">
        <is>
          <t>Tarea</t>
        </is>
      </c>
      <c r="C4" s="2" t="inlineStr">
        <is>
          <t>Responsable</t>
        </is>
      </c>
      <c r="D4" s="2" t="inlineStr">
        <is>
          <t>Fecha Inicio</t>
        </is>
      </c>
      <c r="E4" s="2" t="inlineStr">
        <is>
          <t>Fecha Fin</t>
        </is>
      </c>
      <c r="F4" s="2" t="inlineStr">
        <is>
          <t>Duración</t>
        </is>
      </c>
      <c r="G4" s="2" t="inlineStr">
        <is>
          <t>Progreso</t>
        </is>
      </c>
      <c r="H4" s="2" t="inlineStr">
        <is>
          <t>Estado</t>
        </is>
      </c>
      <c r="I4" s="2" t="inlineStr">
        <is>
          <t>Dependencias</t>
        </is>
      </c>
      <c r="J4" s="2" t="inlineStr">
        <is>
          <t>Entregable / Criterio</t>
        </is>
      </c>
      <c r="K4" s="2" t="inlineStr">
        <is>
          <t>Clasificación</t>
        </is>
      </c>
      <c r="L4" s="3" t="n">
        <v>12</v>
      </c>
      <c r="M4" s="3" t="n">
        <v>13</v>
      </c>
      <c r="N4" s="3" t="n">
        <v>14</v>
      </c>
      <c r="O4" s="3" t="n">
        <v>15</v>
      </c>
      <c r="P4" s="3" t="n">
        <v>16</v>
      </c>
      <c r="Q4" s="3" t="n">
        <v>17</v>
      </c>
      <c r="R4" s="3" t="n">
        <v>18</v>
      </c>
      <c r="S4" s="3" t="n">
        <v>19</v>
      </c>
      <c r="T4" s="3" t="n">
        <v>20</v>
      </c>
      <c r="U4" s="3" t="n">
        <v>21</v>
      </c>
      <c r="V4" s="3" t="n">
        <v>22</v>
      </c>
      <c r="W4" s="3" t="n">
        <v>23</v>
      </c>
      <c r="X4" s="3" t="n">
        <v>24</v>
      </c>
      <c r="Y4" s="3" t="n">
        <v>25</v>
      </c>
      <c r="Z4" s="3" t="n">
        <v>26</v>
      </c>
      <c r="AA4" s="3" t="n">
        <v>27</v>
      </c>
      <c r="AB4" s="3" t="n">
        <v>28</v>
      </c>
      <c r="AC4" s="3" t="n">
        <v>29</v>
      </c>
      <c r="AD4" s="3" t="n">
        <v>30</v>
      </c>
      <c r="AE4" s="3" t="n">
        <v>31</v>
      </c>
      <c r="AF4" s="3" t="n">
        <v>1</v>
      </c>
      <c r="AG4" s="3" t="n">
        <v>2</v>
      </c>
      <c r="AH4" s="3" t="n">
        <v>3</v>
      </c>
      <c r="AI4" s="3" t="n">
        <v>4</v>
      </c>
      <c r="AJ4" s="3" t="n">
        <v>5</v>
      </c>
      <c r="AK4" s="3" t="n">
        <v>6</v>
      </c>
      <c r="AL4" s="3" t="n">
        <v>7</v>
      </c>
      <c r="AM4" s="3" t="n">
        <v>8</v>
      </c>
      <c r="AN4" s="3" t="n">
        <v>9</v>
      </c>
      <c r="AO4" s="3" t="n">
        <v>10</v>
      </c>
      <c r="AP4" s="3" t="n">
        <v>11</v>
      </c>
      <c r="AQ4" s="3" t="n">
        <v>12</v>
      </c>
      <c r="AR4" s="3" t="n">
        <v>13</v>
      </c>
      <c r="AS4" s="3" t="n">
        <v>14</v>
      </c>
      <c r="AT4" s="3" t="n">
        <v>15</v>
      </c>
      <c r="AU4" s="3" t="n">
        <v>16</v>
      </c>
      <c r="AV4" s="3" t="n">
        <v>17</v>
      </c>
      <c r="AW4" s="3" t="n">
        <v>18</v>
      </c>
      <c r="AX4" s="3" t="n">
        <v>19</v>
      </c>
      <c r="AY4" s="3" t="n">
        <v>20</v>
      </c>
      <c r="AZ4" s="3" t="n">
        <v>21</v>
      </c>
      <c r="BA4" s="3" t="n">
        <v>22</v>
      </c>
      <c r="BB4" s="3" t="n">
        <v>23</v>
      </c>
      <c r="BC4" s="3" t="n">
        <v>24</v>
      </c>
      <c r="BD4" s="3" t="n">
        <v>25</v>
      </c>
      <c r="BE4" s="3" t="n">
        <v>26</v>
      </c>
      <c r="BF4" s="3" t="n">
        <v>27</v>
      </c>
      <c r="BG4" s="3" t="n">
        <v>28</v>
      </c>
      <c r="BH4" s="3" t="n">
        <v>29</v>
      </c>
      <c r="BI4" s="3" t="n">
        <v>30</v>
      </c>
      <c r="BJ4" s="3" t="n">
        <v>1</v>
      </c>
      <c r="BK4" s="3" t="n">
        <v>2</v>
      </c>
      <c r="BL4" s="3" t="n">
        <v>3</v>
      </c>
      <c r="BM4" s="3" t="n">
        <v>4</v>
      </c>
      <c r="BN4" s="3" t="n">
        <v>5</v>
      </c>
      <c r="BO4" s="3" t="n">
        <v>6</v>
      </c>
      <c r="BP4" s="4" t="n">
        <v>7</v>
      </c>
      <c r="BQ4" s="3" t="n">
        <v>8</v>
      </c>
      <c r="BR4" s="3" t="n">
        <v>9</v>
      </c>
      <c r="BS4" s="3" t="n">
        <v>10</v>
      </c>
      <c r="BT4" s="3" t="n">
        <v>11</v>
      </c>
      <c r="BU4" s="3" t="n">
        <v>12</v>
      </c>
      <c r="BV4" s="3" t="n">
        <v>13</v>
      </c>
      <c r="BW4" s="3" t="n">
        <v>14</v>
      </c>
      <c r="BX4" s="3" t="n">
        <v>15</v>
      </c>
      <c r="BY4" s="3" t="n">
        <v>16</v>
      </c>
      <c r="BZ4" s="3" t="n">
        <v>17</v>
      </c>
      <c r="CA4" s="3" t="n">
        <v>18</v>
      </c>
      <c r="CB4" s="3" t="n">
        <v>19</v>
      </c>
      <c r="CC4" s="3" t="n">
        <v>20</v>
      </c>
      <c r="CD4" s="3" t="n">
        <v>21</v>
      </c>
      <c r="CE4" s="3" t="n">
        <v>22</v>
      </c>
      <c r="CF4" s="3" t="n">
        <v>23</v>
      </c>
      <c r="CG4" s="3" t="n">
        <v>24</v>
      </c>
      <c r="CH4" s="3" t="n">
        <v>25</v>
      </c>
      <c r="CI4" s="3" t="n">
        <v>26</v>
      </c>
      <c r="CJ4" s="3" t="n">
        <v>27</v>
      </c>
      <c r="CK4" s="3" t="n">
        <v>28</v>
      </c>
      <c r="CL4" s="3" t="n">
        <v>29</v>
      </c>
      <c r="CM4" s="3" t="n">
        <v>30</v>
      </c>
      <c r="CN4" s="3" t="n">
        <v>31</v>
      </c>
      <c r="CO4" s="3" t="n">
        <v>1</v>
      </c>
      <c r="CP4" s="3" t="n">
        <v>2</v>
      </c>
      <c r="CQ4" s="3" t="n">
        <v>3</v>
      </c>
      <c r="CR4" s="3" t="n">
        <v>4</v>
      </c>
      <c r="CS4" s="3" t="n">
        <v>5</v>
      </c>
      <c r="CT4" s="3" t="n">
        <v>6</v>
      </c>
      <c r="CU4" s="3" t="n">
        <v>7</v>
      </c>
      <c r="CV4" s="3" t="n">
        <v>8</v>
      </c>
      <c r="CW4" s="3" t="n">
        <v>9</v>
      </c>
      <c r="CX4" s="3" t="n">
        <v>10</v>
      </c>
      <c r="CY4" s="3" t="n">
        <v>11</v>
      </c>
      <c r="CZ4" s="3" t="n">
        <v>12</v>
      </c>
      <c r="DA4" s="3" t="n">
        <v>13</v>
      </c>
      <c r="DB4" s="3" t="n">
        <v>14</v>
      </c>
      <c r="DC4" s="3" t="n">
        <v>15</v>
      </c>
      <c r="DD4" s="3" t="n">
        <v>16</v>
      </c>
      <c r="DE4" s="3" t="n">
        <v>17</v>
      </c>
      <c r="DF4" s="3" t="n">
        <v>18</v>
      </c>
      <c r="DG4" s="3" t="n">
        <v>19</v>
      </c>
      <c r="DH4" s="3" t="n">
        <v>20</v>
      </c>
      <c r="DI4" s="3" t="n">
        <v>21</v>
      </c>
      <c r="DJ4" s="3" t="n">
        <v>22</v>
      </c>
      <c r="DK4" s="3" t="n">
        <v>23</v>
      </c>
      <c r="DL4" s="3" t="n">
        <v>24</v>
      </c>
      <c r="DM4" s="3" t="n">
        <v>25</v>
      </c>
      <c r="DN4" s="3" t="n">
        <v>26</v>
      </c>
      <c r="DO4" s="3" t="n">
        <v>27</v>
      </c>
      <c r="DP4" s="3" t="n">
        <v>28</v>
      </c>
      <c r="DQ4" s="3" t="n">
        <v>29</v>
      </c>
      <c r="DR4" s="3" t="n">
        <v>30</v>
      </c>
      <c r="DS4" s="3" t="n">
        <v>1</v>
      </c>
      <c r="DT4" s="3" t="n">
        <v>2</v>
      </c>
      <c r="DU4" s="3" t="n">
        <v>3</v>
      </c>
      <c r="DV4" s="3" t="n">
        <v>4</v>
      </c>
      <c r="DW4" s="3" t="n">
        <v>5</v>
      </c>
      <c r="DX4" s="3" t="n">
        <v>6</v>
      </c>
      <c r="DY4" s="3" t="n">
        <v>7</v>
      </c>
      <c r="DZ4" s="3" t="n">
        <v>8</v>
      </c>
      <c r="EA4" s="3" t="n">
        <v>9</v>
      </c>
      <c r="EB4" s="3" t="n">
        <v>10</v>
      </c>
      <c r="EC4" s="3" t="n">
        <v>11</v>
      </c>
    </row>
    <row r="5" ht="22.15" customHeight="1" s="32">
      <c r="A5" s="35" t="inlineStr">
        <is>
          <t>FASE 1: INICIO Y PLANIFICACIÓN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7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</row>
    <row r="6" ht="19.9" customHeight="1" s="32">
      <c r="A6" s="8" t="n">
        <v>1</v>
      </c>
      <c r="B6" s="9" t="inlineStr">
        <is>
          <t>Elección y definición del tema</t>
        </is>
      </c>
      <c r="C6" s="9" t="inlineStr">
        <is>
          <t>Todo el equipo</t>
        </is>
      </c>
      <c r="D6" s="48" t="n">
        <v>46246</v>
      </c>
      <c r="E6" s="48" t="n">
        <v>46248</v>
      </c>
      <c r="F6" s="49">
        <f>IF(COUNT($D6:$E6)=2,$E6-$D6+1,"")</f>
        <v/>
      </c>
      <c r="G6" s="12">
        <f>IF($E6&lt;=$BF$2,1,IF($D6&gt;$BF$2,0,($BF$2-$D6+1)/($E6-$D6+1)))</f>
        <v/>
      </c>
      <c r="H6" s="13">
        <f>IF($G6&gt;=1,"Completado",IF($G6&gt;=0.5,"En Progreso",IF($G6&gt;0,"Iniciada","Pendiente")))</f>
        <v/>
      </c>
      <c r="I6" s="13" t="inlineStr"/>
      <c r="J6" s="13" t="inlineStr">
        <is>
          <t>Documento de tema</t>
        </is>
      </c>
      <c r="K6" s="13" t="inlineStr">
        <is>
          <t>MVP</t>
        </is>
      </c>
      <c r="L6" s="14" t="n"/>
      <c r="M6" s="14" t="n"/>
      <c r="N6" s="14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6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</row>
    <row r="7" ht="19.9" customHeight="1" s="32">
      <c r="A7" s="17" t="n">
        <v>2</v>
      </c>
      <c r="B7" s="18" t="inlineStr">
        <is>
          <t>Definición del problema y alcance</t>
        </is>
      </c>
      <c r="C7" s="18" t="inlineStr">
        <is>
          <t>Juan Gabriel Ortega Orellana</t>
        </is>
      </c>
      <c r="D7" s="50" t="n">
        <v>46249</v>
      </c>
      <c r="E7" s="50" t="n">
        <v>46255</v>
      </c>
      <c r="F7" s="51">
        <f>IF(COUNT($D7:$E7)=2,$E7-$D7+1,"")</f>
        <v/>
      </c>
      <c r="G7" s="12">
        <f>IF($E7&lt;=$BF$2,1,IF($D7&gt;$BF$2,0,($BF$2-$D7+1)/($E7-$D7+1)))</f>
        <v/>
      </c>
      <c r="H7" s="13">
        <f>IF($G7&gt;=1,"Completado",IF($G7&gt;=0.5,"En Progreso",IF($G7&gt;0,"Iniciada","Pendiente")))</f>
        <v/>
      </c>
      <c r="I7" s="13" t="inlineStr">
        <is>
          <t>1</t>
        </is>
      </c>
      <c r="J7" s="13" t="inlineStr">
        <is>
          <t>Documento validado</t>
        </is>
      </c>
      <c r="K7" s="13" t="inlineStr">
        <is>
          <t>MVP</t>
        </is>
      </c>
      <c r="L7" s="40" t="n"/>
      <c r="M7" s="40" t="n"/>
      <c r="N7" s="40" t="n"/>
      <c r="O7" s="14" t="n"/>
      <c r="P7" s="14" t="n"/>
      <c r="Q7" s="14" t="n"/>
      <c r="R7" s="14" t="n"/>
      <c r="S7" s="14" t="n"/>
      <c r="T7" s="14" t="n"/>
      <c r="U7" s="14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21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  <c r="DR7" s="40" t="n"/>
      <c r="DS7" s="40" t="n"/>
      <c r="DT7" s="40" t="n"/>
      <c r="DU7" s="40" t="n"/>
      <c r="DV7" s="40" t="n"/>
      <c r="DW7" s="40" t="n"/>
      <c r="DX7" s="40" t="n"/>
      <c r="DY7" s="40" t="n"/>
      <c r="DZ7" s="40" t="n"/>
      <c r="EA7" s="40" t="n"/>
      <c r="EB7" s="40" t="n"/>
      <c r="EC7" s="40" t="n"/>
    </row>
    <row r="8" ht="19.9" customHeight="1" s="32">
      <c r="A8" s="8" t="n">
        <v>3</v>
      </c>
      <c r="B8" s="29" t="inlineStr">
        <is>
          <t>Investigación inicial y recopilación de requisitos</t>
        </is>
      </c>
      <c r="C8" s="9" t="inlineStr">
        <is>
          <t>Todo el equipo</t>
        </is>
      </c>
      <c r="D8" s="48" t="n">
        <v>46252</v>
      </c>
      <c r="E8" s="48" t="n">
        <v>46262</v>
      </c>
      <c r="F8" s="49">
        <f>IF(COUNT($D8:$E8)=2,$E8-$D8+1,"")</f>
        <v/>
      </c>
      <c r="G8" s="12">
        <f>IF($E8&lt;=$BF$2,1,IF($D8&gt;$BF$2,0,($BF$2-$D8+1)/($E8-$D8+1)))</f>
        <v/>
      </c>
      <c r="H8" s="13">
        <f>IF($G8&gt;=1,"Completado",IF($G8&gt;=0.5,"En Progreso",IF($G8&gt;0,"Iniciada","Pendiente")))</f>
        <v/>
      </c>
      <c r="I8" s="13" t="inlineStr">
        <is>
          <t>2</t>
        </is>
      </c>
      <c r="J8" s="13" t="inlineStr">
        <is>
          <t>Lista de requisitos</t>
        </is>
      </c>
      <c r="K8" s="13" t="inlineStr">
        <is>
          <t>MVP</t>
        </is>
      </c>
      <c r="L8" s="15" t="n"/>
      <c r="M8" s="15" t="n"/>
      <c r="N8" s="15" t="n"/>
      <c r="O8" s="15" t="n"/>
      <c r="P8" s="15" t="n"/>
      <c r="Q8" s="15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6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</row>
    <row r="9" ht="19.9" customHeight="1" s="32">
      <c r="A9" s="17" t="n">
        <v>4</v>
      </c>
      <c r="B9" s="18" t="inlineStr">
        <is>
          <t>Definición de objetivos y alcance técnico</t>
        </is>
      </c>
      <c r="C9" s="18" t="inlineStr">
        <is>
          <t>Juan Gabriel Ortega Orellana</t>
        </is>
      </c>
      <c r="D9" s="50" t="n">
        <v>46258</v>
      </c>
      <c r="E9" s="50" t="n">
        <v>46265</v>
      </c>
      <c r="F9" s="51">
        <f>IF(COUNT($D9:$E9)=2,$E9-$D9+1,"")</f>
        <v/>
      </c>
      <c r="G9" s="12">
        <f>IF($E9&lt;=$BF$2,1,IF($D9&gt;$BF$2,0,($BF$2-$D9+1)/($E9-$D9+1)))</f>
        <v/>
      </c>
      <c r="H9" s="13">
        <f>IF($G9&gt;=1,"Completado",IF($G9&gt;=0.5,"En Progreso",IF($G9&gt;0,"Iniciada","Pendiente")))</f>
        <v/>
      </c>
      <c r="I9" s="13" t="inlineStr">
        <is>
          <t>3</t>
        </is>
      </c>
      <c r="J9" s="13" t="inlineStr">
        <is>
          <t>Objetivos SMART definidos</t>
        </is>
      </c>
      <c r="K9" s="13" t="inlineStr">
        <is>
          <t>MVP</t>
        </is>
      </c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21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  <c r="DR9" s="40" t="n"/>
      <c r="DS9" s="40" t="n"/>
      <c r="DT9" s="40" t="n"/>
      <c r="DU9" s="40" t="n"/>
      <c r="DV9" s="40" t="n"/>
      <c r="DW9" s="40" t="n"/>
      <c r="DX9" s="40" t="n"/>
      <c r="DY9" s="40" t="n"/>
      <c r="DZ9" s="40" t="n"/>
      <c r="EA9" s="40" t="n"/>
      <c r="EB9" s="40" t="n"/>
      <c r="EC9" s="40" t="n"/>
    </row>
    <row r="10" ht="22.15" customHeight="1" s="32">
      <c r="A10" s="35" t="inlineStr">
        <is>
          <t>FASE 2: INVESTIGACIÓN Y DISEÑO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7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</row>
    <row r="11" ht="19.9" customHeight="1" s="32">
      <c r="A11" s="17" t="n">
        <v>5</v>
      </c>
      <c r="B11" s="18" t="inlineStr">
        <is>
          <t>Investigación de Prometheus y Grafana</t>
        </is>
      </c>
      <c r="C11" s="18" t="inlineStr">
        <is>
          <t>Juan Pablo Coca Soliz</t>
        </is>
      </c>
      <c r="D11" s="50" t="n">
        <v>46266</v>
      </c>
      <c r="E11" s="50" t="n">
        <v>46276</v>
      </c>
      <c r="F11" s="51">
        <f>IF(COUNT($D11:$E11)=2,$E11-$D11+1,"")</f>
        <v/>
      </c>
      <c r="G11" s="12">
        <f>IF($E11&lt;=$BF$2,1,IF($D11&gt;$BF$2,0,($BF$2-$D11+1)/($E11-$D11+1)))</f>
        <v/>
      </c>
      <c r="H11" s="13">
        <f>IF($G11&gt;=1,"Completado",IF($G11&gt;=0.5,"En Progreso",IF($G11&gt;0,"Iniciada","Pendiente")))</f>
        <v/>
      </c>
      <c r="I11" s="13" t="inlineStr">
        <is>
          <t>4</t>
        </is>
      </c>
      <c r="J11" s="13" t="inlineStr">
        <is>
          <t>Resumen técnico</t>
        </is>
      </c>
      <c r="K11" s="13" t="inlineStr">
        <is>
          <t>MVP</t>
        </is>
      </c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21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  <c r="DR11" s="40" t="n"/>
      <c r="DS11" s="40" t="n"/>
      <c r="DT11" s="40" t="n"/>
      <c r="DU11" s="40" t="n"/>
      <c r="DV11" s="40" t="n"/>
      <c r="DW11" s="40" t="n"/>
      <c r="DX11" s="40" t="n"/>
      <c r="DY11" s="40" t="n"/>
      <c r="DZ11" s="40" t="n"/>
      <c r="EA11" s="40" t="n"/>
      <c r="EB11" s="40" t="n"/>
      <c r="EC11" s="40" t="n"/>
    </row>
    <row r="12" ht="30" customHeight="1" s="32">
      <c r="A12" s="8" t="n">
        <v>6</v>
      </c>
      <c r="B12" s="9" t="inlineStr">
        <is>
          <t>Investigación de Node Exporter, SNMP Exporter y cAdvisor</t>
        </is>
      </c>
      <c r="C12" s="9" t="inlineStr">
        <is>
          <t>Nathan Ezequiaz Torrico</t>
        </is>
      </c>
      <c r="D12" s="48" t="n">
        <v>46266</v>
      </c>
      <c r="E12" s="48" t="n">
        <v>46276</v>
      </c>
      <c r="F12" s="49">
        <f>IF(COUNT($D12:$E12)=2,$E12-$D12+1,"")</f>
        <v/>
      </c>
      <c r="G12" s="12">
        <f>IF($E12&lt;=$BF$2,1,IF($D12&gt;$BF$2,0,($BF$2-$D12+1)/($E12-$D12+1)))</f>
        <v/>
      </c>
      <c r="H12" s="13">
        <f>IF($G12&gt;=1,"Completado",IF($G12&gt;=0.5,"En Progreso",IF($G12&gt;0,"Iniciada","Pendiente")))</f>
        <v/>
      </c>
      <c r="I12" s="13" t="inlineStr">
        <is>
          <t>4</t>
        </is>
      </c>
      <c r="J12" s="13" t="inlineStr">
        <is>
          <t>Resumen técnico</t>
        </is>
      </c>
      <c r="K12" s="13" t="inlineStr">
        <is>
          <t>MVP</t>
        </is>
      </c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6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</row>
    <row r="13" ht="19.9" customHeight="1" s="32">
      <c r="A13" s="17" t="n">
        <v>7</v>
      </c>
      <c r="B13" s="18" t="inlineStr">
        <is>
          <t>Diseño de arquitectura de la solución</t>
        </is>
      </c>
      <c r="C13" s="18" t="inlineStr">
        <is>
          <t>Juan Gabriel Ortega Orellana</t>
        </is>
      </c>
      <c r="D13" s="50" t="n">
        <v>46273</v>
      </c>
      <c r="E13" s="50" t="n">
        <v>46283</v>
      </c>
      <c r="F13" s="51">
        <f>IF(COUNT($D13:$E13)=2,$E13-$D13+1,"")</f>
        <v/>
      </c>
      <c r="G13" s="12">
        <f>IF($E13&lt;=$BF$2,1,IF($D13&gt;$BF$2,0,($BF$2-$D13+1)/($E13-$D13+1)))</f>
        <v/>
      </c>
      <c r="H13" s="13">
        <f>IF($G13&gt;=1,"Completado",IF($G13&gt;=0.5,"En Progreso",IF($G13&gt;0,"Iniciada","Pendiente")))</f>
        <v/>
      </c>
      <c r="I13" s="13" t="inlineStr">
        <is>
          <t>5, 6</t>
        </is>
      </c>
      <c r="J13" s="13" t="inlineStr">
        <is>
          <t>Diagrama de red</t>
        </is>
      </c>
      <c r="K13" s="13" t="inlineStr">
        <is>
          <t>MVP</t>
        </is>
      </c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21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  <c r="DR13" s="40" t="n"/>
      <c r="DS13" s="40" t="n"/>
      <c r="DT13" s="40" t="n"/>
      <c r="DU13" s="40" t="n"/>
      <c r="DV13" s="40" t="n"/>
      <c r="DW13" s="40" t="n"/>
      <c r="DX13" s="40" t="n"/>
      <c r="DY13" s="40" t="n"/>
      <c r="DZ13" s="40" t="n"/>
      <c r="EA13" s="40" t="n"/>
      <c r="EB13" s="40" t="n"/>
      <c r="EC13" s="40" t="n"/>
    </row>
    <row r="14" ht="30" customHeight="1" s="32">
      <c r="A14" s="8" t="n">
        <v>8</v>
      </c>
      <c r="B14" s="9" t="inlineStr">
        <is>
          <t>Definición del entorno de virtualización con Proxmox VE</t>
        </is>
      </c>
      <c r="C14" s="9" t="inlineStr">
        <is>
          <t>Nathan Ezequiaz Torrico</t>
        </is>
      </c>
      <c r="D14" s="48" t="n">
        <v>46279</v>
      </c>
      <c r="E14" s="48" t="n">
        <v>46290</v>
      </c>
      <c r="F14" s="49">
        <f>IF(COUNT($D14:$E14)=2,$E14-$D14+1,"")</f>
        <v/>
      </c>
      <c r="G14" s="12">
        <f>IF($E14&lt;=$BF$2,1,IF($D14&gt;$BF$2,0,($BF$2-$D14+1)/($E14-$D14+1)))</f>
        <v/>
      </c>
      <c r="H14" s="13">
        <f>IF($G14&gt;=1,"Completado",IF($G14&gt;=0.5,"En Progreso",IF($G14&gt;0,"Iniciada","Pendiente")))</f>
        <v/>
      </c>
      <c r="I14" s="13" t="inlineStr">
        <is>
          <t>7</t>
        </is>
      </c>
      <c r="J14" s="13" t="inlineStr">
        <is>
          <t>Recursos asignados doc</t>
        </is>
      </c>
      <c r="K14" s="13" t="inlineStr">
        <is>
          <t>MVP</t>
        </is>
      </c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6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</row>
    <row r="15" ht="22.15" customHeight="1" s="32">
      <c r="A15" s="35" t="inlineStr">
        <is>
          <t>FASE 3: DOCUMENTACIÓN Y VALIDACIÓN DEL DISEÑO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22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</row>
    <row r="16" ht="19.9" customHeight="1" s="32">
      <c r="A16" s="8" t="n">
        <v>9</v>
      </c>
      <c r="B16" s="9" t="inlineStr">
        <is>
          <t>Elaboración del informe inicial</t>
        </is>
      </c>
      <c r="C16" s="9" t="inlineStr">
        <is>
          <t>Juan Gabriel Ortega Orellana</t>
        </is>
      </c>
      <c r="D16" s="48" t="n">
        <v>46286</v>
      </c>
      <c r="E16" s="48" t="n">
        <v>46295</v>
      </c>
      <c r="F16" s="49">
        <f>IF(COUNT($D16:$E16)=2,$E16-$D16+1,"")</f>
        <v/>
      </c>
      <c r="G16" s="12">
        <f>IF($E16&lt;=$BF$2,1,IF($D16&gt;$BF$2,0,($BF$2-$D16+1)/($E16-$D16+1)))</f>
        <v/>
      </c>
      <c r="H16" s="13">
        <f>IF($G16&gt;=1,"Completado",IF($G16&gt;=0.5,"En Progreso",IF($G16&gt;0,"Iniciada","Pendiente")))</f>
        <v/>
      </c>
      <c r="I16" s="13" t="inlineStr">
        <is>
          <t>8</t>
        </is>
      </c>
      <c r="J16" s="13" t="inlineStr">
        <is>
          <t>Documento .docx</t>
        </is>
      </c>
      <c r="K16" s="13" t="inlineStr">
        <is>
          <t>MVP</t>
        </is>
      </c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5" t="n"/>
      <c r="BK16" s="15" t="n"/>
      <c r="BL16" s="15" t="n"/>
      <c r="BM16" s="15" t="n"/>
      <c r="BN16" s="15" t="n"/>
      <c r="BO16" s="15" t="n"/>
      <c r="BP16" s="16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</row>
    <row r="17" ht="19.9" customHeight="1" s="32">
      <c r="A17" s="17" t="n">
        <v>10</v>
      </c>
      <c r="B17" s="18" t="inlineStr">
        <is>
          <t>Revisión técnica del proyecto</t>
        </is>
      </c>
      <c r="C17" s="18" t="inlineStr">
        <is>
          <t>Todo el equipo</t>
        </is>
      </c>
      <c r="D17" s="50" t="n">
        <v>46296</v>
      </c>
      <c r="E17" s="50" t="n">
        <v>46301</v>
      </c>
      <c r="F17" s="51">
        <f>IF(COUNT($D17:$E17)=2,$E17-$D17+1,"")</f>
        <v/>
      </c>
      <c r="G17" s="12">
        <f>IF($E17&lt;=$BF$2,1,IF($D17&gt;$BF$2,0,($BF$2-$D17+1)/($E17-$D17+1)))</f>
        <v/>
      </c>
      <c r="H17" s="13">
        <f>IF($G17&gt;=1,"Completado",IF($G17&gt;=0.5,"En Progreso",IF($G17&gt;0,"Iniciada","Pendiente")))</f>
        <v/>
      </c>
      <c r="I17" s="13" t="inlineStr">
        <is>
          <t>9</t>
        </is>
      </c>
      <c r="J17" s="13" t="inlineStr">
        <is>
          <t>Observaciones</t>
        </is>
      </c>
      <c r="K17" s="13" t="inlineStr">
        <is>
          <t>MVP</t>
        </is>
      </c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14" t="n"/>
      <c r="BK17" s="14" t="n"/>
      <c r="BL17" s="14" t="n"/>
      <c r="BM17" s="14" t="n"/>
      <c r="BN17" s="14" t="n"/>
      <c r="BO17" s="14" t="n"/>
      <c r="BP17" s="21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  <c r="DR17" s="40" t="n"/>
      <c r="DS17" s="40" t="n"/>
      <c r="DT17" s="40" t="n"/>
      <c r="DU17" s="40" t="n"/>
      <c r="DV17" s="40" t="n"/>
      <c r="DW17" s="40" t="n"/>
      <c r="DX17" s="40" t="n"/>
      <c r="DY17" s="40" t="n"/>
      <c r="DZ17" s="40" t="n"/>
      <c r="EA17" s="40" t="n"/>
      <c r="EB17" s="40" t="n"/>
      <c r="EC17" s="40" t="n"/>
    </row>
    <row r="18" ht="19.9" customHeight="1" s="32">
      <c r="A18" s="8" t="n">
        <v>11</v>
      </c>
      <c r="B18" s="9" t="inlineStr">
        <is>
          <t>Corrección y mejora del informe</t>
        </is>
      </c>
      <c r="C18" s="9" t="inlineStr">
        <is>
          <t>Todo el equipo</t>
        </is>
      </c>
      <c r="D18" s="48" t="n">
        <v>46302</v>
      </c>
      <c r="E18" s="48" t="n">
        <v>46302</v>
      </c>
      <c r="F18" s="49">
        <f>IF(COUNT($D18:$E18)=2,$E18-$D18+1,"")</f>
        <v/>
      </c>
      <c r="G18" s="12">
        <f>IF($E18&lt;=$BF$2,1,IF($D18&gt;$BF$2,0,($BF$2-$D18+1)/($E18-$D18+1)))</f>
        <v/>
      </c>
      <c r="H18" s="13">
        <f>IF($G18&gt;=1,"Completado",IF($G18&gt;=0.5,"En Progreso",IF($G18&gt;0,"Iniciada","Pendiente")))</f>
        <v/>
      </c>
      <c r="I18" s="13" t="inlineStr">
        <is>
          <t>10</t>
        </is>
      </c>
      <c r="J18" s="13" t="inlineStr">
        <is>
          <t>Informe V2</t>
        </is>
      </c>
      <c r="K18" s="13" t="inlineStr">
        <is>
          <t>MVP</t>
        </is>
      </c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23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</row>
    <row r="19" ht="22.15" customHeight="1" s="32">
      <c r="A19" s="35" t="inlineStr">
        <is>
          <t>FASE 4: PREPARACIÓN DE INFRAESTRUCTURA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22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/>
      <c r="DK19" s="6" t="n"/>
      <c r="DL19" s="6" t="n"/>
      <c r="DM19" s="6" t="n"/>
      <c r="DN19" s="6" t="n"/>
      <c r="DO19" s="6" t="n"/>
      <c r="DP19" s="6" t="n"/>
      <c r="DQ19" s="6" t="n"/>
      <c r="DR19" s="6" t="n"/>
      <c r="DS19" s="6" t="n"/>
      <c r="DT19" s="6" t="n"/>
      <c r="DU19" s="6" t="n"/>
      <c r="DV19" s="6" t="n"/>
      <c r="DW19" s="6" t="n"/>
      <c r="DX19" s="6" t="n"/>
      <c r="DY19" s="6" t="n"/>
      <c r="DZ19" s="6" t="n"/>
      <c r="EA19" s="6" t="n"/>
      <c r="EB19" s="6" t="n"/>
      <c r="EC19" s="6" t="n"/>
    </row>
    <row r="20" ht="19.9" customHeight="1" s="32">
      <c r="A20" s="8" t="n">
        <v>12</v>
      </c>
      <c r="B20" s="9" t="inlineStr">
        <is>
          <t>Preparación de máquina virtual en Proxmox VE</t>
        </is>
      </c>
      <c r="C20" s="9" t="inlineStr">
        <is>
          <t>Nathan Ezequiaz Torrico</t>
        </is>
      </c>
      <c r="D20" s="48" t="n">
        <v>46288</v>
      </c>
      <c r="E20" s="48" t="n">
        <v>46302</v>
      </c>
      <c r="F20" s="49">
        <f>IF(COUNT($D20:$E20)=2,$E20-$D20+1,"")</f>
        <v/>
      </c>
      <c r="G20" s="12">
        <f>IF($E20&lt;=$BF$2,1,IF($D20&gt;$BF$2,0,($BF$2-$D20+1)/($E20-$D20+1)))</f>
        <v/>
      </c>
      <c r="H20" s="13">
        <f>IF($G20&gt;=1,"Completado",IF($G20&gt;=0.5,"En Progreso",IF($G20&gt;0,"Iniciada","Pendiente")))</f>
        <v/>
      </c>
      <c r="I20" s="13" t="inlineStr">
        <is>
          <t>11</t>
        </is>
      </c>
      <c r="J20" s="13" t="inlineStr">
        <is>
          <t>VM operativa y accesible</t>
        </is>
      </c>
      <c r="K20" s="13" t="inlineStr">
        <is>
          <t>MVP</t>
        </is>
      </c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23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</row>
    <row r="21" ht="19.9" customHeight="1" s="32">
      <c r="A21" s="17" t="n">
        <v>13</v>
      </c>
      <c r="B21" s="18" t="inlineStr">
        <is>
          <t>Instalación y configuración de Docker</t>
        </is>
      </c>
      <c r="C21" s="18" t="inlineStr">
        <is>
          <t>Nathan Ezequiaz Torrico</t>
        </is>
      </c>
      <c r="D21" s="50" t="n">
        <v>46307</v>
      </c>
      <c r="E21" s="50" t="n">
        <v>46311</v>
      </c>
      <c r="F21" s="51">
        <f>IF(COUNT($D21:$E21)=2,$E21-$D21+1,"")</f>
        <v/>
      </c>
      <c r="G21" s="24" t="n">
        <v>30</v>
      </c>
      <c r="H21" s="41" t="inlineStr">
        <is>
          <t>En Curso</t>
        </is>
      </c>
      <c r="I21" s="41" t="inlineStr">
        <is>
          <t>12</t>
        </is>
      </c>
      <c r="J21" s="41" t="inlineStr">
        <is>
          <t>Comando 'docker ps' responde</t>
        </is>
      </c>
      <c r="K21" s="41" t="inlineStr">
        <is>
          <t>MVP</t>
        </is>
      </c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21" t="n"/>
      <c r="BQ21" s="40" t="n"/>
      <c r="BR21" s="40" t="n"/>
      <c r="BS21" s="40" t="n"/>
      <c r="BT21" s="40" t="n"/>
      <c r="BU21" s="42" t="n"/>
      <c r="BV21" s="42" t="n"/>
      <c r="BW21" s="42" t="n"/>
      <c r="BX21" s="42" t="n"/>
      <c r="BY21" s="42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  <c r="DR21" s="40" t="n"/>
      <c r="DS21" s="40" t="n"/>
      <c r="DT21" s="40" t="n"/>
      <c r="DU21" s="40" t="n"/>
      <c r="DV21" s="40" t="n"/>
      <c r="DW21" s="40" t="n"/>
      <c r="DX21" s="40" t="n"/>
      <c r="DY21" s="40" t="n"/>
      <c r="DZ21" s="40" t="n"/>
      <c r="EA21" s="40" t="n"/>
      <c r="EB21" s="40" t="n"/>
      <c r="EC21" s="40" t="n"/>
    </row>
    <row r="22" ht="19.9" customHeight="1" s="32">
      <c r="A22" s="8" t="n">
        <v>14</v>
      </c>
      <c r="B22" s="29" t="inlineStr">
        <is>
          <t>Creación y configuración de docker-compose.yml</t>
        </is>
      </c>
      <c r="C22" s="9" t="inlineStr">
        <is>
          <t>Juan Pablo (Apoyo: Nathan)</t>
        </is>
      </c>
      <c r="D22" s="48" t="n">
        <v>46309</v>
      </c>
      <c r="E22" s="48" t="n">
        <v>46315</v>
      </c>
      <c r="F22" s="49">
        <f>IF(COUNT($D22:$E22)=2,$E22-$D22+1,"")</f>
        <v/>
      </c>
      <c r="G22" s="24" t="n">
        <v>30</v>
      </c>
      <c r="H22" s="41" t="inlineStr">
        <is>
          <t>En Curso</t>
        </is>
      </c>
      <c r="I22" s="41" t="inlineStr">
        <is>
          <t>13</t>
        </is>
      </c>
      <c r="J22" s="41" t="inlineStr">
        <is>
          <t>Archivo .yml versionado</t>
        </is>
      </c>
      <c r="K22" s="41" t="inlineStr">
        <is>
          <t>MVP</t>
        </is>
      </c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6" t="n"/>
      <c r="BQ22" s="15" t="n"/>
      <c r="BR22" s="15" t="n"/>
      <c r="BS22" s="15" t="n"/>
      <c r="BT22" s="15" t="n"/>
      <c r="BU22" s="15" t="n"/>
      <c r="BV22" s="15" t="n"/>
      <c r="BW22" s="42" t="n"/>
      <c r="BX22" s="42" t="n"/>
      <c r="BY22" s="42" t="n"/>
      <c r="BZ22" s="42" t="n"/>
      <c r="CA22" s="42" t="n"/>
      <c r="CB22" s="42" t="n"/>
      <c r="CC22" s="42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</row>
    <row r="23" ht="22.15" customHeight="1" s="32">
      <c r="A23" s="35" t="inlineStr">
        <is>
          <t>FASE 5: DESPLIEGUE DE LA PLATAFORMA</t>
        </is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7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6" t="n"/>
      <c r="DR23" s="6" t="n"/>
      <c r="DS23" s="6" t="n"/>
      <c r="DT23" s="6" t="n"/>
      <c r="DU23" s="6" t="n"/>
      <c r="DV23" s="6" t="n"/>
      <c r="DW23" s="6" t="n"/>
      <c r="DX23" s="6" t="n"/>
      <c r="DY23" s="6" t="n"/>
      <c r="DZ23" s="6" t="n"/>
      <c r="EA23" s="6" t="n"/>
      <c r="EB23" s="6" t="n"/>
      <c r="EC23" s="6" t="n"/>
    </row>
    <row r="24" ht="19.9" customHeight="1" s="32">
      <c r="A24" s="8" t="n">
        <v>15</v>
      </c>
      <c r="B24" s="9" t="inlineStr">
        <is>
          <t>Despliegue de Prometheus</t>
        </is>
      </c>
      <c r="C24" s="9" t="inlineStr">
        <is>
          <t>Juan Pablo Coca Soliz</t>
        </is>
      </c>
      <c r="D24" s="48" t="n">
        <v>46314</v>
      </c>
      <c r="E24" s="48" t="n">
        <v>46318</v>
      </c>
      <c r="F24" s="49">
        <f>IF(COUNT($D24:$E24)=2,$E24-$D24+1,"")</f>
        <v/>
      </c>
      <c r="G24" s="24">
        <f>IF($E24&lt;=$BF$2,1,IF($D24&gt;$BF$2,0,($BF$2-$D24+1)/($E24-$D24+1)))</f>
        <v/>
      </c>
      <c r="H24" s="41">
        <f>IF($G24&gt;=1,"Completado",IF($G24&gt;=0.5,"En Progreso",IF($G24&gt;0,"Iniciada","Pendiente")))</f>
        <v/>
      </c>
      <c r="I24" s="41" t="inlineStr">
        <is>
          <t>14</t>
        </is>
      </c>
      <c r="J24" s="41" t="inlineStr">
        <is>
          <t>Interfaz web 9090 accesible</t>
        </is>
      </c>
      <c r="K24" s="41" t="inlineStr">
        <is>
          <t>MVP</t>
        </is>
      </c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6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42" t="n"/>
      <c r="CC24" s="42" t="n"/>
      <c r="CD24" s="42" t="n"/>
      <c r="CE24" s="42" t="n"/>
      <c r="CF24" s="42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</row>
    <row r="25" ht="19.9" customHeight="1" s="32">
      <c r="A25" s="17" t="n">
        <v>16</v>
      </c>
      <c r="B25" s="18" t="inlineStr">
        <is>
          <t>Despliegue y configuración de Grafana</t>
        </is>
      </c>
      <c r="C25" s="18" t="inlineStr">
        <is>
          <t>Juan Pablo Coca Soliz</t>
        </is>
      </c>
      <c r="D25" s="50" t="n">
        <v>46316</v>
      </c>
      <c r="E25" s="50" t="n">
        <v>46322</v>
      </c>
      <c r="F25" s="51">
        <f>IF(COUNT($D25:$E25)=2,$E25-$D25+1,"")</f>
        <v/>
      </c>
      <c r="G25" s="24">
        <f>IF($E25&lt;=$BF$2,1,IF($D25&gt;$BF$2,0,($BF$2-$D25+1)/($E25-$D25+1)))</f>
        <v/>
      </c>
      <c r="H25" s="41">
        <f>IF($G25&gt;=1,"Completado",IF($G25&gt;=0.5,"En Progreso",IF($G25&gt;0,"Iniciada","Pendiente")))</f>
        <v/>
      </c>
      <c r="I25" s="41" t="inlineStr">
        <is>
          <t>15</t>
        </is>
      </c>
      <c r="J25" s="41" t="inlineStr">
        <is>
          <t>Interfaz web 3000 accesible</t>
        </is>
      </c>
      <c r="K25" s="41" t="inlineStr">
        <is>
          <t>MVP</t>
        </is>
      </c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21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2" t="n"/>
      <c r="CE25" s="42" t="n"/>
      <c r="CF25" s="42" t="n"/>
      <c r="CG25" s="42" t="n"/>
      <c r="CH25" s="42" t="n"/>
      <c r="CI25" s="42" t="n"/>
      <c r="CJ25" s="42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  <c r="DR25" s="40" t="n"/>
      <c r="DS25" s="40" t="n"/>
      <c r="DT25" s="40" t="n"/>
      <c r="DU25" s="40" t="n"/>
      <c r="DV25" s="40" t="n"/>
      <c r="DW25" s="40" t="n"/>
      <c r="DX25" s="40" t="n"/>
      <c r="DY25" s="40" t="n"/>
      <c r="DZ25" s="40" t="n"/>
      <c r="EA25" s="40" t="n"/>
      <c r="EB25" s="40" t="n"/>
      <c r="EC25" s="40" t="n"/>
    </row>
    <row r="26" ht="30" customHeight="1" s="32">
      <c r="A26" s="8" t="n">
        <v>17</v>
      </c>
      <c r="B26" s="9" t="inlineStr">
        <is>
          <t>Configuración de comunicación Prometheus-Grafana</t>
        </is>
      </c>
      <c r="C26" s="9" t="inlineStr">
        <is>
          <t>Juan Pablo Coca Soliz</t>
        </is>
      </c>
      <c r="D26" s="48" t="n">
        <v>46321</v>
      </c>
      <c r="E26" s="48" t="n">
        <v>46325</v>
      </c>
      <c r="F26" s="49">
        <f>IF(COUNT($D26:$E26)=2,$E26-$D26+1,"")</f>
        <v/>
      </c>
      <c r="G26" s="24">
        <f>IF($E26&lt;=$BF$2,1,IF($D26&gt;$BF$2,0,($BF$2-$D26+1)/($E26-$D26+1)))</f>
        <v/>
      </c>
      <c r="H26" s="41">
        <f>IF($G26&gt;=1,"Completado",IF($G26&gt;=0.5,"En Progreso",IF($G26&gt;0,"Iniciada","Pendiente")))</f>
        <v/>
      </c>
      <c r="I26" s="41" t="inlineStr">
        <is>
          <t>15, 16</t>
        </is>
      </c>
      <c r="J26" s="41" t="inlineStr">
        <is>
          <t>Datasource validado en Grafana</t>
        </is>
      </c>
      <c r="K26" s="41" t="inlineStr">
        <is>
          <t>MVP</t>
        </is>
      </c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6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42" t="n"/>
      <c r="CJ26" s="42" t="n"/>
      <c r="CK26" s="42" t="n"/>
      <c r="CL26" s="42" t="n"/>
      <c r="CM26" s="42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</row>
    <row r="27" ht="22.15" customHeight="1" s="32">
      <c r="A27" s="35" t="inlineStr">
        <is>
          <t>FASE 6: IMPLEMENTACIÓN DE AGENTES Y RECOLECCIÓN</t>
        </is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7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6" t="n"/>
      <c r="DC27" s="6" t="n"/>
      <c r="DD27" s="6" t="n"/>
      <c r="DE27" s="6" t="n"/>
      <c r="DF27" s="6" t="n"/>
      <c r="DG27" s="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6" t="n"/>
      <c r="DR27" s="6" t="n"/>
      <c r="DS27" s="6" t="n"/>
      <c r="DT27" s="6" t="n"/>
      <c r="DU27" s="6" t="n"/>
      <c r="DV27" s="6" t="n"/>
      <c r="DW27" s="6" t="n"/>
      <c r="DX27" s="6" t="n"/>
      <c r="DY27" s="6" t="n"/>
      <c r="DZ27" s="6" t="n"/>
      <c r="EA27" s="6" t="n"/>
      <c r="EB27" s="6" t="n"/>
      <c r="EC27" s="6" t="n"/>
    </row>
    <row r="28" ht="30" customHeight="1" s="32">
      <c r="A28" s="8" t="n">
        <v>18</v>
      </c>
      <c r="B28" s="9" t="inlineStr">
        <is>
          <t>Instalación de Node Exporter en servidores de prueba</t>
        </is>
      </c>
      <c r="C28" s="9" t="inlineStr">
        <is>
          <t>Nathan Ezequiaz Torrico</t>
        </is>
      </c>
      <c r="D28" s="48" t="n">
        <v>46323</v>
      </c>
      <c r="E28" s="48" t="n">
        <v>46330</v>
      </c>
      <c r="F28" s="49">
        <f>IF(COUNT($D28:$E28)=2,$E28-$D28+1,"")</f>
        <v/>
      </c>
      <c r="G28" s="24">
        <f>IF($E28&lt;=$BF$2,1,IF($D28&gt;$BF$2,0,($BF$2-$D28+1)/($E28-$D28+1)))</f>
        <v/>
      </c>
      <c r="H28" s="41">
        <f>IF($G28&gt;=1,"Completado",IF($G28&gt;=0.5,"En Progreso",IF($G28&gt;0,"Iniciada","Pendiente")))</f>
        <v/>
      </c>
      <c r="I28" s="41" t="inlineStr">
        <is>
          <t>12</t>
        </is>
      </c>
      <c r="J28" s="41" t="inlineStr">
        <is>
          <t>Métricas web en puerto 9100</t>
        </is>
      </c>
      <c r="K28" s="41" t="inlineStr">
        <is>
          <t>MVP</t>
        </is>
      </c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6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</row>
    <row r="29" ht="19.9" customHeight="1" s="32">
      <c r="A29" s="17" t="n">
        <v>19</v>
      </c>
      <c r="B29" s="18" t="inlineStr">
        <is>
          <t>Configuración de SNMP Exporter</t>
        </is>
      </c>
      <c r="C29" s="18" t="inlineStr">
        <is>
          <t>Nathan Ezequiaz Torrico</t>
        </is>
      </c>
      <c r="D29" s="50" t="n">
        <v>46328</v>
      </c>
      <c r="E29" s="50" t="n">
        <v>46332</v>
      </c>
      <c r="F29" s="51">
        <f>IF(COUNT($D29:$E29)=2,$E29-$D29+1,"")</f>
        <v/>
      </c>
      <c r="G29" s="24">
        <f>IF($E29&lt;=$BF$2,1,IF($D29&gt;$BF$2,0,($BF$2-$D29+1)/($E29-$D29+1)))</f>
        <v/>
      </c>
      <c r="H29" s="41">
        <f>IF($G29&gt;=1,"Completado",IF($G29&gt;=0.5,"En Progreso",IF($G29&gt;0,"Iniciada","Pendiente")))</f>
        <v/>
      </c>
      <c r="I29" s="41" t="inlineStr"/>
      <c r="J29" s="41" t="inlineStr">
        <is>
          <t>Métricas SNMP</t>
        </is>
      </c>
      <c r="K29" s="41" t="inlineStr">
        <is>
          <t>Ampliación</t>
        </is>
      </c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21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2" t="n"/>
      <c r="CQ29" s="42" t="n"/>
      <c r="CR29" s="42" t="n"/>
      <c r="CS29" s="42" t="n"/>
      <c r="CT29" s="42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  <c r="DR29" s="40" t="n"/>
      <c r="DS29" s="40" t="n"/>
      <c r="DT29" s="40" t="n"/>
      <c r="DU29" s="40" t="n"/>
      <c r="DV29" s="40" t="n"/>
      <c r="DW29" s="40" t="n"/>
      <c r="DX29" s="40" t="n"/>
      <c r="DY29" s="40" t="n"/>
      <c r="DZ29" s="40" t="n"/>
      <c r="EA29" s="40" t="n"/>
      <c r="EB29" s="40" t="n"/>
      <c r="EC29" s="40" t="n"/>
    </row>
    <row r="30" ht="19.9" customHeight="1" s="32">
      <c r="A30" s="8" t="n">
        <v>20</v>
      </c>
      <c r="B30" s="9" t="inlineStr">
        <is>
          <t>Configuración de cAdvisor</t>
        </is>
      </c>
      <c r="C30" s="9" t="inlineStr">
        <is>
          <t>Nathan Ezequiaz Torrico</t>
        </is>
      </c>
      <c r="D30" s="48" t="n">
        <v>46330</v>
      </c>
      <c r="E30" s="48" t="n">
        <v>46335</v>
      </c>
      <c r="F30" s="49">
        <f>IF(COUNT($D30:$E30)=2,$E30-$D30+1,"")</f>
        <v/>
      </c>
      <c r="G30" s="24">
        <f>IF($E30&lt;=$BF$2,1,IF($D30&gt;$BF$2,0,($BF$2-$D30+1)/($E30-$D30+1)))</f>
        <v/>
      </c>
      <c r="H30" s="41">
        <f>IF($G30&gt;=1,"Completado",IF($G30&gt;=0.5,"En Progreso",IF($G30&gt;0,"Iniciada","Pendiente")))</f>
        <v/>
      </c>
      <c r="I30" s="41" t="inlineStr"/>
      <c r="J30" s="41" t="inlineStr">
        <is>
          <t>Métricas contenedores</t>
        </is>
      </c>
      <c r="K30" s="41" t="inlineStr">
        <is>
          <t>Ampliación</t>
        </is>
      </c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6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42" t="n"/>
      <c r="CS30" s="42" t="n"/>
      <c r="CT30" s="42" t="n"/>
      <c r="CU30" s="42" t="n"/>
      <c r="CV30" s="42" t="n"/>
      <c r="CW30" s="42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</row>
    <row r="31" ht="30" customHeight="1" s="32">
      <c r="A31" s="17" t="n">
        <v>21</v>
      </c>
      <c r="B31" s="18" t="inlineStr">
        <is>
          <t>Integración de agentes con Prometheus</t>
        </is>
      </c>
      <c r="C31" s="18" t="inlineStr">
        <is>
          <t>Nathan Ezequiaz Torrico / Juan Pablo Coca Soliz</t>
        </is>
      </c>
      <c r="D31" s="50" t="n">
        <v>46335</v>
      </c>
      <c r="E31" s="50" t="n">
        <v>46339</v>
      </c>
      <c r="F31" s="51">
        <f>IF(COUNT($D31:$E31)=2,$E31-$D31+1,"")</f>
        <v/>
      </c>
      <c r="G31" s="24">
        <f>IF($E31&lt;=$BF$2,1,IF($D31&gt;$BF$2,0,($BF$2-$D31+1)/($E31-$D31+1)))</f>
        <v/>
      </c>
      <c r="H31" s="41">
        <f>IF($G31&gt;=1,"Completado",IF($G31&gt;=0.5,"En Progreso",IF($G31&gt;0,"Iniciada","Pendiente")))</f>
        <v/>
      </c>
      <c r="I31" s="41" t="inlineStr">
        <is>
          <t>18</t>
        </is>
      </c>
      <c r="J31" s="41" t="inlineStr">
        <is>
          <t>Targets 'UP' en Prometheus</t>
        </is>
      </c>
      <c r="K31" s="41" t="inlineStr">
        <is>
          <t>MVP</t>
        </is>
      </c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21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2" t="n"/>
      <c r="CX31" s="42" t="n"/>
      <c r="CY31" s="42" t="n"/>
      <c r="CZ31" s="42" t="n"/>
      <c r="DA31" s="42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  <c r="DR31" s="40" t="n"/>
      <c r="DS31" s="40" t="n"/>
      <c r="DT31" s="40" t="n"/>
      <c r="DU31" s="40" t="n"/>
      <c r="DV31" s="40" t="n"/>
      <c r="DW31" s="40" t="n"/>
      <c r="DX31" s="40" t="n"/>
      <c r="DY31" s="40" t="n"/>
      <c r="DZ31" s="40" t="n"/>
      <c r="EA31" s="40" t="n"/>
      <c r="EB31" s="40" t="n"/>
      <c r="EC31" s="40" t="n"/>
    </row>
    <row r="32" ht="22.15" customHeight="1" s="32">
      <c r="A32" s="35" t="inlineStr">
        <is>
          <t>FASE 7: DASHBOARDS Y VISUALIZACIÓN</t>
        </is>
      </c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7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6" t="n"/>
      <c r="DQ32" s="6" t="n"/>
      <c r="DR32" s="6" t="n"/>
      <c r="DS32" s="6" t="n"/>
      <c r="DT32" s="6" t="n"/>
      <c r="DU32" s="6" t="n"/>
      <c r="DV32" s="6" t="n"/>
      <c r="DW32" s="6" t="n"/>
      <c r="DX32" s="6" t="n"/>
      <c r="DY32" s="6" t="n"/>
      <c r="DZ32" s="6" t="n"/>
      <c r="EA32" s="6" t="n"/>
      <c r="EB32" s="6" t="n"/>
      <c r="EC32" s="6" t="n"/>
    </row>
    <row r="33" ht="19.9" customHeight="1" s="32">
      <c r="A33" s="17" t="n">
        <v>22</v>
      </c>
      <c r="B33" s="30" t="inlineStr">
        <is>
          <t>Diseño de dashboard general de infraestructura</t>
        </is>
      </c>
      <c r="C33" s="18" t="inlineStr">
        <is>
          <t>Juan Gabriel Ortega Orellana</t>
        </is>
      </c>
      <c r="D33" s="50" t="n">
        <v>46336</v>
      </c>
      <c r="E33" s="50" t="n">
        <v>46343</v>
      </c>
      <c r="F33" s="51">
        <f>IF(COUNT($D33:$E33)=2,$E33-$D33+1,"")</f>
        <v/>
      </c>
      <c r="G33" s="24">
        <f>IF($E33&lt;=$BF$2,1,IF($D33&gt;$BF$2,0,($BF$2-$D33+1)/($E33-$D33+1)))</f>
        <v/>
      </c>
      <c r="H33" s="41">
        <f>IF($G33&gt;=1,"Completado",IF($G33&gt;=0.5,"En Progreso",IF($G33&gt;0,"Iniciada","Pendiente")))</f>
        <v/>
      </c>
      <c r="I33" s="41" t="inlineStr">
        <is>
          <t>21</t>
        </is>
      </c>
      <c r="J33" s="41" t="inlineStr">
        <is>
          <t>Dashboard creado</t>
        </is>
      </c>
      <c r="K33" s="41" t="inlineStr">
        <is>
          <t>MVP</t>
        </is>
      </c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21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2" t="n"/>
      <c r="CY33" s="42" t="n"/>
      <c r="CZ33" s="42" t="n"/>
      <c r="DA33" s="42" t="n"/>
      <c r="DB33" s="42" t="n"/>
      <c r="DC33" s="42" t="n"/>
      <c r="DD33" s="42" t="n"/>
      <c r="DE33" s="42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  <c r="DR33" s="40" t="n"/>
      <c r="DS33" s="40" t="n"/>
      <c r="DT33" s="40" t="n"/>
      <c r="DU33" s="40" t="n"/>
      <c r="DV33" s="40" t="n"/>
      <c r="DW33" s="40" t="n"/>
      <c r="DX33" s="40" t="n"/>
      <c r="DY33" s="40" t="n"/>
      <c r="DZ33" s="40" t="n"/>
      <c r="EA33" s="40" t="n"/>
      <c r="EB33" s="40" t="n"/>
      <c r="EC33" s="40" t="n"/>
    </row>
    <row r="34" ht="19.9" customHeight="1" s="32">
      <c r="A34" s="8" t="n">
        <v>23</v>
      </c>
      <c r="B34" s="9" t="inlineStr">
        <is>
          <t>Dashboard de CPU y memoria RAM</t>
        </is>
      </c>
      <c r="C34" s="9" t="inlineStr">
        <is>
          <t>Juan Gabriel (Apoyo: Juan Pablo)</t>
        </is>
      </c>
      <c r="D34" s="48" t="n">
        <v>46342</v>
      </c>
      <c r="E34" s="48" t="n">
        <v>46346</v>
      </c>
      <c r="F34" s="49">
        <f>IF(COUNT($D34:$E34)=2,$E34-$D34+1,"")</f>
        <v/>
      </c>
      <c r="G34" s="24">
        <f>IF($E34&lt;=$BF$2,1,IF($D34&gt;$BF$2,0,($BF$2-$D34+1)/($E34-$D34+1)))</f>
        <v/>
      </c>
      <c r="H34" s="41">
        <f>IF($G34&gt;=1,"Completado",IF($G34&gt;=0.5,"En Progreso",IF($G34&gt;0,"Iniciada","Pendiente")))</f>
        <v/>
      </c>
      <c r="I34" s="41" t="inlineStr">
        <is>
          <t>22</t>
        </is>
      </c>
      <c r="J34" s="41" t="inlineStr">
        <is>
          <t>Paneles de CPU/RAM con datos</t>
        </is>
      </c>
      <c r="K34" s="41" t="inlineStr">
        <is>
          <t>MVP</t>
        </is>
      </c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6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42" t="n"/>
      <c r="DE34" s="42" t="n"/>
      <c r="DF34" s="42" t="n"/>
      <c r="DG34" s="42" t="n"/>
      <c r="DH34" s="42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</row>
    <row r="35" ht="19.9" customHeight="1" s="32">
      <c r="A35" s="17" t="n">
        <v>24</v>
      </c>
      <c r="B35" s="18" t="inlineStr">
        <is>
          <t>Dashboard de almacenamiento</t>
        </is>
      </c>
      <c r="C35" s="18" t="inlineStr">
        <is>
          <t>Juan Gabriel (Apoyo: Juan Pablo)</t>
        </is>
      </c>
      <c r="D35" s="50" t="n">
        <v>46344</v>
      </c>
      <c r="E35" s="50" t="n">
        <v>46349</v>
      </c>
      <c r="F35" s="51">
        <f>IF(COUNT($D35:$E35)=2,$E35-$D35+1,"")</f>
        <v/>
      </c>
      <c r="G35" s="24">
        <f>IF($E35&lt;=$BF$2,1,IF($D35&gt;$BF$2,0,($BF$2-$D35+1)/($E35-$D35+1)))</f>
        <v/>
      </c>
      <c r="H35" s="41">
        <f>IF($G35&gt;=1,"Completado",IF($G35&gt;=0.5,"En Progreso",IF($G35&gt;0,"Iniciada","Pendiente")))</f>
        <v/>
      </c>
      <c r="I35" s="41" t="inlineStr">
        <is>
          <t>23</t>
        </is>
      </c>
      <c r="J35" s="41" t="inlineStr">
        <is>
          <t>Paneles de disco con datos</t>
        </is>
      </c>
      <c r="K35" s="41" t="inlineStr">
        <is>
          <t>MVP</t>
        </is>
      </c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21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2" t="n"/>
      <c r="DG35" s="42" t="n"/>
      <c r="DH35" s="42" t="n"/>
      <c r="DI35" s="42" t="n"/>
      <c r="DJ35" s="42" t="n"/>
      <c r="DK35" s="42" t="n"/>
      <c r="DL35" s="40" t="n"/>
      <c r="DM35" s="40" t="n"/>
      <c r="DN35" s="40" t="n"/>
      <c r="DO35" s="40" t="n"/>
      <c r="DP35" s="40" t="n"/>
      <c r="DQ35" s="40" t="n"/>
      <c r="DR35" s="40" t="n"/>
      <c r="DS35" s="40" t="n"/>
      <c r="DT35" s="40" t="n"/>
      <c r="DU35" s="40" t="n"/>
      <c r="DV35" s="40" t="n"/>
      <c r="DW35" s="40" t="n"/>
      <c r="DX35" s="40" t="n"/>
      <c r="DY35" s="40" t="n"/>
      <c r="DZ35" s="40" t="n"/>
      <c r="EA35" s="40" t="n"/>
      <c r="EB35" s="40" t="n"/>
      <c r="EC35" s="40" t="n"/>
    </row>
    <row r="36" ht="19.9" customHeight="1" s="32">
      <c r="A36" s="8" t="n">
        <v>25</v>
      </c>
      <c r="B36" s="9" t="inlineStr">
        <is>
          <t>Dashboard de tráfico y métricas de red</t>
        </is>
      </c>
      <c r="C36" s="9" t="inlineStr">
        <is>
          <t>Juan Gabriel (Apoyo: Juan Pablo)</t>
        </is>
      </c>
      <c r="D36" s="48" t="n">
        <v>46346</v>
      </c>
      <c r="E36" s="48" t="n">
        <v>46351</v>
      </c>
      <c r="F36" s="49">
        <f>IF(COUNT($D36:$E36)=2,$E36-$D36+1,"")</f>
        <v/>
      </c>
      <c r="G36" s="24">
        <f>IF($E36&lt;=$BF$2,1,IF($D36&gt;$BF$2,0,($BF$2-$D36+1)/($E36-$D36+1)))</f>
        <v/>
      </c>
      <c r="H36" s="41">
        <f>IF($G36&gt;=1,"Completado",IF($G36&gt;=0.5,"En Progreso",IF($G36&gt;0,"Iniciada","Pendiente")))</f>
        <v/>
      </c>
      <c r="I36" s="41" t="inlineStr">
        <is>
          <t>24</t>
        </is>
      </c>
      <c r="J36" s="41" t="inlineStr">
        <is>
          <t>Paneles de red con datos</t>
        </is>
      </c>
      <c r="K36" s="41" t="inlineStr">
        <is>
          <t>MVP</t>
        </is>
      </c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6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42" t="n"/>
      <c r="DI36" s="42" t="n"/>
      <c r="DJ36" s="42" t="n"/>
      <c r="DK36" s="42" t="n"/>
      <c r="DL36" s="42" t="n"/>
      <c r="DM36" s="42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</row>
    <row r="37" ht="19.9" customHeight="1" s="32">
      <c r="A37" s="17" t="n">
        <v>26</v>
      </c>
      <c r="B37" s="18" t="inlineStr">
        <is>
          <t>Integración y validación visual de dashboards</t>
        </is>
      </c>
      <c r="C37" s="18" t="inlineStr">
        <is>
          <t>Juan Gabriel Ortega Orellana</t>
        </is>
      </c>
      <c r="D37" s="50" t="n">
        <v>46350</v>
      </c>
      <c r="E37" s="50" t="n">
        <v>46353</v>
      </c>
      <c r="F37" s="51">
        <f>IF(COUNT($D37:$E37)=2,$E37-$D37+1,"")</f>
        <v/>
      </c>
      <c r="G37" s="24">
        <f>IF($E37&lt;=$BF$2,1,IF($D37&gt;$BF$2,0,($BF$2-$D37+1)/($E37-$D37+1)))</f>
        <v/>
      </c>
      <c r="H37" s="41">
        <f>IF($G37&gt;=1,"Completado",IF($G37&gt;=0.5,"En Progreso",IF($G37&gt;0,"Iniciada","Pendiente")))</f>
        <v/>
      </c>
      <c r="I37" s="41" t="inlineStr">
        <is>
          <t>25</t>
        </is>
      </c>
      <c r="J37" s="41" t="inlineStr">
        <is>
          <t>Dashboard final aprobado</t>
        </is>
      </c>
      <c r="K37" s="41" t="inlineStr">
        <is>
          <t>MVP</t>
        </is>
      </c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21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2" t="n"/>
      <c r="DM37" s="42" t="n"/>
      <c r="DN37" s="42" t="n"/>
      <c r="DO37" s="42" t="n"/>
      <c r="DP37" s="40" t="n"/>
      <c r="DQ37" s="40" t="n"/>
      <c r="DR37" s="40" t="n"/>
      <c r="DS37" s="40" t="n"/>
      <c r="DT37" s="40" t="n"/>
      <c r="DU37" s="40" t="n"/>
      <c r="DV37" s="40" t="n"/>
      <c r="DW37" s="40" t="n"/>
      <c r="DX37" s="40" t="n"/>
      <c r="DY37" s="40" t="n"/>
      <c r="DZ37" s="40" t="n"/>
      <c r="EA37" s="40" t="n"/>
      <c r="EB37" s="40" t="n"/>
      <c r="EC37" s="40" t="n"/>
    </row>
    <row r="38" ht="22.15" customHeight="1" s="32">
      <c r="A38" s="35" t="inlineStr">
        <is>
          <t>FASE 8: ALERTAS Y PRUEBAS</t>
        </is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7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6" t="n"/>
      <c r="DC38" s="6" t="n"/>
      <c r="DD38" s="6" t="n"/>
      <c r="DE38" s="6" t="n"/>
      <c r="DF38" s="6" t="n"/>
      <c r="DG38" s="6" t="n"/>
      <c r="DH38" s="6" t="n"/>
      <c r="DI38" s="6" t="n"/>
      <c r="DJ38" s="6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6" t="n"/>
      <c r="DY38" s="6" t="n"/>
      <c r="DZ38" s="6" t="n"/>
      <c r="EA38" s="6" t="n"/>
      <c r="EB38" s="6" t="n"/>
      <c r="EC38" s="6" t="n"/>
    </row>
    <row r="39" ht="19.9" customHeight="1" s="32">
      <c r="A39" s="17" t="n">
        <v>27</v>
      </c>
      <c r="B39" s="18" t="inlineStr">
        <is>
          <t>Configuración de reglas de alerta</t>
        </is>
      </c>
      <c r="C39" s="18" t="inlineStr">
        <is>
          <t>Juan Pablo Coca Soliz</t>
        </is>
      </c>
      <c r="D39" s="50" t="n">
        <v>46349</v>
      </c>
      <c r="E39" s="50" t="n">
        <v>46353</v>
      </c>
      <c r="F39" s="51">
        <f>IF(COUNT($D39:$E39)=2,$E39-$D39+1,"")</f>
        <v/>
      </c>
      <c r="G39" s="24">
        <f>IF($E39&lt;=$BF$2,1,IF($D39&gt;$BF$2,0,($BF$2-$D39+1)/($E39-$D39+1)))</f>
        <v/>
      </c>
      <c r="H39" s="41">
        <f>IF($G39&gt;=1,"Completado",IF($G39&gt;=0.5,"En Progreso",IF($G39&gt;0,"Iniciada","Pendiente")))</f>
        <v/>
      </c>
      <c r="I39" s="41" t="inlineStr">
        <is>
          <t>21</t>
        </is>
      </c>
      <c r="J39" s="41" t="inlineStr">
        <is>
          <t>Regla .yml cargada</t>
        </is>
      </c>
      <c r="K39" s="41" t="inlineStr">
        <is>
          <t>MVP</t>
        </is>
      </c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21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2" t="n"/>
      <c r="DL39" s="42" t="n"/>
      <c r="DM39" s="42" t="n"/>
      <c r="DN39" s="42" t="n"/>
      <c r="DO39" s="42" t="n"/>
      <c r="DP39" s="40" t="n"/>
      <c r="DQ39" s="40" t="n"/>
      <c r="DR39" s="40" t="n"/>
      <c r="DS39" s="40" t="n"/>
      <c r="DT39" s="40" t="n"/>
      <c r="DU39" s="40" t="n"/>
      <c r="DV39" s="40" t="n"/>
      <c r="DW39" s="40" t="n"/>
      <c r="DX39" s="40" t="n"/>
      <c r="DY39" s="40" t="n"/>
      <c r="DZ39" s="40" t="n"/>
      <c r="EA39" s="40" t="n"/>
      <c r="EB39" s="40" t="n"/>
      <c r="EC39" s="40" t="n"/>
    </row>
    <row r="40" ht="30" customHeight="1" s="32">
      <c r="A40" s="8" t="n">
        <v>28</v>
      </c>
      <c r="B40" s="9" t="inlineStr">
        <is>
          <t>Integración de alertas con Telegram</t>
        </is>
      </c>
      <c r="C40" s="9" t="inlineStr">
        <is>
          <t>Juan Pablo Coca Soliz</t>
        </is>
      </c>
      <c r="D40" s="48" t="n">
        <v>46353</v>
      </c>
      <c r="E40" s="48" t="n">
        <v>46358</v>
      </c>
      <c r="F40" s="49">
        <f>IF(COUNT($D40:$E40)=2,$E40-$D40+1,"")</f>
        <v/>
      </c>
      <c r="G40" s="24">
        <f>IF($E40&lt;=$BF$2,1,IF($D40&gt;$BF$2,0,($BF$2-$D40+1)/($E40-$D40+1)))</f>
        <v/>
      </c>
      <c r="H40" s="41">
        <f>IF($G40&gt;=1,"Completado",IF($G40&gt;=0.5,"En Progreso",IF($G40&gt;0,"Iniciada","Pendiente")))</f>
        <v/>
      </c>
      <c r="I40" s="41" t="inlineStr">
        <is>
          <t>27</t>
        </is>
      </c>
      <c r="J40" s="41" t="inlineStr">
        <is>
          <t>Mensaje test recibido en Telegram</t>
        </is>
      </c>
      <c r="K40" s="41" t="inlineStr">
        <is>
          <t>MVP</t>
        </is>
      </c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6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42" t="n"/>
      <c r="DP40" s="42" t="n"/>
      <c r="DQ40" s="42" t="n"/>
      <c r="DR40" s="42" t="n"/>
      <c r="DS40" s="42" t="n"/>
      <c r="DT40" s="42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</row>
    <row r="41" ht="30" customHeight="1" s="32">
      <c r="A41" s="17" t="n">
        <v>29</v>
      </c>
      <c r="B41" s="18" t="inlineStr">
        <is>
          <t>Pruebas de monitoreo y generación de alertas</t>
        </is>
      </c>
      <c r="C41" s="18" t="inlineStr">
        <is>
          <t>Juan Pablo Coca Soliz / Nathan Ezequiaz Torrico</t>
        </is>
      </c>
      <c r="D41" s="50" t="n">
        <v>46357</v>
      </c>
      <c r="E41" s="50" t="n">
        <v>46360</v>
      </c>
      <c r="F41" s="51">
        <f>IF(COUNT($D41:$E41)=2,$E41-$D41+1,"")</f>
        <v/>
      </c>
      <c r="G41" s="24">
        <f>IF($E41&lt;=$BF$2,1,IF($D41&gt;$BF$2,0,($BF$2-$D41+1)/($E41-$D41+1)))</f>
        <v/>
      </c>
      <c r="H41" s="41">
        <f>IF($G41&gt;=1,"Completado",IF($G41&gt;=0.5,"En Progreso",IF($G41&gt;0,"Iniciada","Pendiente")))</f>
        <v/>
      </c>
      <c r="I41" s="41" t="inlineStr">
        <is>
          <t>26, 28</t>
        </is>
      </c>
      <c r="J41" s="41" t="inlineStr">
        <is>
          <t>Alerta disparada y recibida</t>
        </is>
      </c>
      <c r="K41" s="41" t="inlineStr">
        <is>
          <t>MVP</t>
        </is>
      </c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21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  <c r="DR41" s="40" t="n"/>
      <c r="DS41" s="42" t="n"/>
      <c r="DT41" s="42" t="n"/>
      <c r="DU41" s="42" t="n"/>
      <c r="DV41" s="42" t="n"/>
      <c r="DW41" s="40" t="n"/>
      <c r="DX41" s="40" t="n"/>
      <c r="DY41" s="40" t="n"/>
      <c r="DZ41" s="40" t="n"/>
      <c r="EA41" s="40" t="n"/>
      <c r="EB41" s="40" t="n"/>
      <c r="EC41" s="40" t="n"/>
    </row>
    <row r="42" ht="30" customHeight="1" s="32">
      <c r="A42" s="8" t="n">
        <v>30</v>
      </c>
      <c r="B42" s="9" t="inlineStr">
        <is>
          <t>Pruebas de carga y evaluación del consumo de recursos</t>
        </is>
      </c>
      <c r="C42" s="9" t="inlineStr">
        <is>
          <t>Nathan Ezequiaz Torrico</t>
        </is>
      </c>
      <c r="D42" s="48" t="n">
        <v>46359</v>
      </c>
      <c r="E42" s="48" t="n">
        <v>46361</v>
      </c>
      <c r="F42" s="49">
        <f>IF(COUNT($D42:$E42)=2,$E42-$D42+1,"")</f>
        <v/>
      </c>
      <c r="G42" s="24">
        <f>IF($E42&lt;=$BF$2,1,IF($D42&gt;$BF$2,0,($BF$2-$D42+1)/($E42-$D42+1)))</f>
        <v/>
      </c>
      <c r="H42" s="41">
        <f>IF($G42&gt;=1,"Completado",IF($G42&gt;=0.5,"En Progreso",IF($G42&gt;0,"Iniciada","Pendiente")))</f>
        <v/>
      </c>
      <c r="I42" s="41" t="inlineStr">
        <is>
          <t>29</t>
        </is>
      </c>
      <c r="J42" s="41" t="inlineStr">
        <is>
          <t>Reporte de recursos</t>
        </is>
      </c>
      <c r="K42" s="41" t="inlineStr">
        <is>
          <t>MVP</t>
        </is>
      </c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6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42" t="n"/>
      <c r="DV42" s="42" t="n"/>
      <c r="DW42" s="42" t="n"/>
      <c r="DX42" s="15" t="n"/>
      <c r="DY42" s="15" t="n"/>
      <c r="DZ42" s="15" t="n"/>
      <c r="EA42" s="15" t="n"/>
      <c r="EB42" s="15" t="n"/>
      <c r="EC42" s="15" t="n"/>
    </row>
    <row r="43" ht="22.15" customHeight="1" s="32">
      <c r="A43" s="35" t="inlineStr">
        <is>
          <t>FASE 9: DOCUMENTACIÓN Y ENTREGA</t>
        </is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7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6" t="n"/>
      <c r="DC43" s="6" t="n"/>
      <c r="DD43" s="6" t="n"/>
      <c r="DE43" s="6" t="n"/>
      <c r="DF43" s="6" t="n"/>
      <c r="DG43" s="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6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</row>
    <row r="44" ht="19.9" customHeight="1" s="32">
      <c r="A44" s="8" t="n">
        <v>31</v>
      </c>
      <c r="B44" s="9" t="inlineStr">
        <is>
          <t>Elaboración del manual técnico</t>
        </is>
      </c>
      <c r="C44" s="9" t="inlineStr">
        <is>
          <t>Juan Gabriel Ortega Orellana</t>
        </is>
      </c>
      <c r="D44" s="48" t="n">
        <v>46356</v>
      </c>
      <c r="E44" s="48" t="n">
        <v>46360</v>
      </c>
      <c r="F44" s="49">
        <f>IF(COUNT($D44:$E44)=2,$E44-$D44+1,"")</f>
        <v/>
      </c>
      <c r="G44" s="24">
        <f>IF($E44&lt;=$BF$2,1,IF($D44&gt;$BF$2,0,($BF$2-$D44+1)/($E44-$D44+1)))</f>
        <v/>
      </c>
      <c r="H44" s="41">
        <f>IF($G44&gt;=1,"Completado",IF($G44&gt;=0.5,"En Progreso",IF($G44&gt;0,"Iniciada","Pendiente")))</f>
        <v/>
      </c>
      <c r="I44" s="41" t="inlineStr">
        <is>
          <t>29</t>
        </is>
      </c>
      <c r="J44" s="41" t="inlineStr">
        <is>
          <t>PDF Manual</t>
        </is>
      </c>
      <c r="K44" s="41" t="inlineStr">
        <is>
          <t>MVP</t>
        </is>
      </c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6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42" t="n"/>
      <c r="DS44" s="42" t="n"/>
      <c r="DT44" s="42" t="n"/>
      <c r="DU44" s="42" t="n"/>
      <c r="DV44" s="42" t="n"/>
      <c r="DW44" s="15" t="n"/>
      <c r="DX44" s="15" t="n"/>
      <c r="DY44" s="15" t="n"/>
      <c r="DZ44" s="15" t="n"/>
      <c r="EA44" s="15" t="n"/>
      <c r="EB44" s="15" t="n"/>
      <c r="EC44" s="15" t="n"/>
    </row>
    <row r="45" ht="19.9" customHeight="1" s="32">
      <c r="A45" s="17" t="n">
        <v>32</v>
      </c>
      <c r="B45" s="18" t="inlineStr">
        <is>
          <t>Documentación de instalación y configuración</t>
        </is>
      </c>
      <c r="C45" s="18" t="inlineStr">
        <is>
          <t>Juan Pablo Coca Soliz</t>
        </is>
      </c>
      <c r="D45" s="50" t="n">
        <v>46359</v>
      </c>
      <c r="E45" s="50" t="n">
        <v>46363</v>
      </c>
      <c r="F45" s="51">
        <f>IF(COUNT($D45:$E45)=2,$E45-$D45+1,"")</f>
        <v/>
      </c>
      <c r="G45" s="24">
        <f>IF($E45&lt;=$BF$2,1,IF($D45&gt;$BF$2,0,($BF$2-$D45+1)/($E45-$D45+1)))</f>
        <v/>
      </c>
      <c r="H45" s="41">
        <f>IF($G45&gt;=1,"Completado",IF($G45&gt;=0.5,"En Progreso",IF($G45&gt;0,"Iniciada","Pendiente")))</f>
        <v/>
      </c>
      <c r="I45" s="41" t="inlineStr"/>
      <c r="J45" s="41" t="inlineStr">
        <is>
          <t>Tarea completa</t>
        </is>
      </c>
      <c r="K45" s="41" t="inlineStr">
        <is>
          <t>MVP</t>
        </is>
      </c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21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  <c r="DR45" s="40" t="n"/>
      <c r="DS45" s="40" t="n"/>
      <c r="DT45" s="40" t="n"/>
      <c r="DU45" s="42" t="n"/>
      <c r="DV45" s="42" t="n"/>
      <c r="DW45" s="42" t="n"/>
      <c r="DX45" s="42" t="n"/>
      <c r="DY45" s="42" t="n"/>
      <c r="DZ45" s="40" t="n"/>
      <c r="EA45" s="40" t="n"/>
      <c r="EB45" s="40" t="n"/>
      <c r="EC45" s="40" t="n"/>
    </row>
    <row r="46" ht="19.9" customHeight="1" s="32">
      <c r="A46" s="8" t="n">
        <v>33</v>
      </c>
      <c r="B46" s="9" t="inlineStr">
        <is>
          <t>Documentación de operación y monitoreo</t>
        </is>
      </c>
      <c r="C46" s="9" t="inlineStr">
        <is>
          <t>Nathan Ezequiaz Torrico</t>
        </is>
      </c>
      <c r="D46" s="48" t="n">
        <v>46360</v>
      </c>
      <c r="E46" s="48" t="n">
        <v>46364</v>
      </c>
      <c r="F46" s="49">
        <f>IF(COUNT($D46:$E46)=2,$E46-$D46+1,"")</f>
        <v/>
      </c>
      <c r="G46" s="24">
        <f>IF($E46&lt;=$BF$2,1,IF($D46&gt;$BF$2,0,($BF$2-$D46+1)/($E46-$D46+1)))</f>
        <v/>
      </c>
      <c r="H46" s="41">
        <f>IF($G46&gt;=1,"Completado",IF($G46&gt;=0.5,"En Progreso",IF($G46&gt;0,"Iniciada","Pendiente")))</f>
        <v/>
      </c>
      <c r="I46" s="41" t="inlineStr">
        <is>
          <t>32</t>
        </is>
      </c>
      <c r="J46" s="41" t="inlineStr">
        <is>
          <t>Guía de usuario</t>
        </is>
      </c>
      <c r="K46" s="41" t="inlineStr">
        <is>
          <t>MVP</t>
        </is>
      </c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6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5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5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5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42" t="n"/>
      <c r="DW46" s="42" t="n"/>
      <c r="DX46" s="42" t="n"/>
      <c r="DY46" s="42" t="n"/>
      <c r="DZ46" s="42" t="n"/>
      <c r="EA46" s="15" t="n"/>
      <c r="EB46" s="15" t="n"/>
      <c r="EC46" s="15" t="n"/>
    </row>
    <row r="47" ht="19.9" customHeight="1" s="32">
      <c r="A47" s="17" t="n">
        <v>34</v>
      </c>
      <c r="B47" s="18" t="inlineStr">
        <is>
          <t>Integración final del informe</t>
        </is>
      </c>
      <c r="C47" s="18" t="inlineStr">
        <is>
          <t>Juan Gabriel Ortega Orellana</t>
        </is>
      </c>
      <c r="D47" s="50" t="n">
        <v>46363</v>
      </c>
      <c r="E47" s="50" t="n">
        <v>46365</v>
      </c>
      <c r="F47" s="51">
        <f>IF(COUNT($D47:$E47)=2,$E47-$D47+1,"")</f>
        <v/>
      </c>
      <c r="G47" s="24">
        <f>IF($E47&lt;=$BF$2,1,IF($D47&gt;$BF$2,0,($BF$2-$D47+1)/($E47-$D47+1)))</f>
        <v/>
      </c>
      <c r="H47" s="41">
        <f>IF($G47&gt;=1,"Completado",IF($G47&gt;=0.5,"En Progreso",IF($G47&gt;0,"Iniciada","Pendiente")))</f>
        <v/>
      </c>
      <c r="I47" s="41" t="inlineStr"/>
      <c r="J47" s="41" t="inlineStr">
        <is>
          <t>Tarea completa</t>
        </is>
      </c>
      <c r="K47" s="41" t="inlineStr">
        <is>
          <t>MVP</t>
        </is>
      </c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21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  <c r="DR47" s="40" t="n"/>
      <c r="DS47" s="40" t="n"/>
      <c r="DT47" s="40" t="n"/>
      <c r="DU47" s="40" t="n"/>
      <c r="DV47" s="40" t="n"/>
      <c r="DW47" s="40" t="n"/>
      <c r="DX47" s="40" t="n"/>
      <c r="DY47" s="42" t="n"/>
      <c r="DZ47" s="42" t="n"/>
      <c r="EA47" s="42" t="n"/>
      <c r="EB47" s="40" t="n"/>
      <c r="EC47" s="40" t="n"/>
    </row>
    <row r="48" ht="19.9" customHeight="1" s="32">
      <c r="A48" s="8" t="n">
        <v>35</v>
      </c>
      <c r="B48" s="9" t="inlineStr">
        <is>
          <t>Revisión final y correcciones</t>
        </is>
      </c>
      <c r="C48" s="9" t="inlineStr">
        <is>
          <t>Todo el equipo</t>
        </is>
      </c>
      <c r="D48" s="48" t="n">
        <v>46365</v>
      </c>
      <c r="E48" s="48" t="n">
        <v>46366</v>
      </c>
      <c r="F48" s="49">
        <f>IF(COUNT($D48:$E48)=2,$E48-$D48+1,"")</f>
        <v/>
      </c>
      <c r="G48" s="24">
        <f>IF($E48&lt;=$BF$2,1,IF($D48&gt;$BF$2,0,($BF$2-$D48+1)/($E48-$D48+1)))</f>
        <v/>
      </c>
      <c r="H48" s="41">
        <f>IF($G48&gt;=1,"Completado",IF($G48&gt;=0.5,"En Progreso",IF($G48&gt;0,"Iniciada","Pendiente")))</f>
        <v/>
      </c>
      <c r="I48" s="41" t="inlineStr"/>
      <c r="J48" s="41" t="inlineStr">
        <is>
          <t>Tarea completa</t>
        </is>
      </c>
      <c r="K48" s="41" t="inlineStr">
        <is>
          <t>MVP</t>
        </is>
      </c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6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5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5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5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42" t="n"/>
      <c r="EB48" s="42" t="n"/>
      <c r="EC48" s="15" t="n"/>
    </row>
    <row r="49" ht="19.9" customHeight="1" s="32">
      <c r="A49" s="17" t="n">
        <v>36</v>
      </c>
      <c r="B49" s="18" t="inlineStr">
        <is>
          <t>Entrega y presentación del proyecto</t>
        </is>
      </c>
      <c r="C49" s="18" t="inlineStr">
        <is>
          <t>Todo el equipo</t>
        </is>
      </c>
      <c r="D49" s="50" t="n">
        <v>46367</v>
      </c>
      <c r="E49" s="50" t="n">
        <v>46367</v>
      </c>
      <c r="F49" s="51">
        <f>IF(COUNT($D49:$E49)=2,$E49-$D49+1,"")</f>
        <v/>
      </c>
      <c r="G49" s="24">
        <f>IF($E49&lt;=$BF$2,1,IF($D49&gt;$BF$2,0,($BF$2-$D49+1)/($E49-$D49+1)))</f>
        <v/>
      </c>
      <c r="H49" s="41">
        <f>IF($G49&gt;=1,"Completado",IF($G49&gt;=0.5,"En Progreso",IF($G49&gt;0,"Iniciada","Pendiente")))</f>
        <v/>
      </c>
      <c r="I49" s="41" t="inlineStr"/>
      <c r="J49" s="41" t="inlineStr">
        <is>
          <t>Tarea completa</t>
        </is>
      </c>
      <c r="K49" s="41" t="inlineStr">
        <is>
          <t>MVP</t>
        </is>
      </c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21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  <c r="DR49" s="40" t="n"/>
      <c r="DS49" s="40" t="n"/>
      <c r="DT49" s="40" t="n"/>
      <c r="DU49" s="40" t="n"/>
      <c r="DV49" s="40" t="n"/>
      <c r="DW49" s="40" t="n"/>
      <c r="DX49" s="40" t="n"/>
      <c r="DY49" s="40" t="n"/>
      <c r="DZ49" s="40" t="n"/>
      <c r="EA49" s="40" t="n"/>
      <c r="EB49" s="40" t="n"/>
      <c r="EC49" s="42" t="n"/>
    </row>
    <row r="50"/>
    <row r="51" ht="22.15" customHeight="1" s="32">
      <c r="A51" s="27" t="inlineStr">
        <is>
          <t>LEYENDA:</t>
        </is>
      </c>
      <c r="B51" s="13" t="inlineStr">
        <is>
          <t>✔ Completado (100%)</t>
        </is>
      </c>
      <c r="C51" s="28" t="inlineStr">
        <is>
          <t>● En Progreso (50-99%)</t>
        </is>
      </c>
      <c r="D51" s="36" t="inlineStr">
        <is>
          <t>● Iniciada (1-49%)</t>
        </is>
      </c>
      <c r="E51" s="46" t="n"/>
      <c r="F51" s="47" t="n"/>
      <c r="G51" s="41" t="inlineStr">
        <is>
          <t>● Pendiente (0%)</t>
        </is>
      </c>
      <c r="H51" s="47" t="n"/>
      <c r="I51" s="47" t="inlineStr"/>
      <c r="J51" s="47" t="inlineStr">
        <is>
          <t>Tarea completa</t>
        </is>
      </c>
      <c r="K51" s="47" t="inlineStr">
        <is>
          <t>MVP</t>
        </is>
      </c>
      <c r="L51" s="43" t="inlineStr">
        <is>
          <t>Línea vertical naranja = Actualización / Revisión del proyecto: 07/10/2026  ·  Barra oscura de fila de fase = resumen de la fase</t>
        </is>
      </c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7" t="n"/>
    </row>
    <row r="52">
      <c r="A52" s="27" t="n">
        <v>37</v>
      </c>
      <c r="B52" s="13" t="inlineStr">
        <is>
          <t>Integración de todo el flujo (Node Exporter a Grafana)</t>
        </is>
      </c>
      <c r="C52" s="28" t="inlineStr">
        <is>
          <t>Todo el equipo</t>
        </is>
      </c>
      <c r="D52" s="36" t="n">
        <v>46361</v>
      </c>
      <c r="E52" s="46" t="n">
        <v>46363</v>
      </c>
      <c r="F52" s="47" t="n">
        <v>3</v>
      </c>
      <c r="G52" s="41" t="n">
        <v>0</v>
      </c>
      <c r="H52" s="47" t="inlineStr">
        <is>
          <t>Pendiente</t>
        </is>
      </c>
      <c r="I52" s="47" t="inlineStr">
        <is>
          <t>29</t>
        </is>
      </c>
      <c r="J52" s="47" t="inlineStr">
        <is>
          <t>Flujo 100% operativo</t>
        </is>
      </c>
      <c r="K52" s="47" t="inlineStr">
        <is>
          <t>MVP</t>
        </is>
      </c>
    </row>
    <row r="53">
      <c r="A53" s="27" t="n">
        <v>38</v>
      </c>
      <c r="B53" s="13" t="inlineStr">
        <is>
          <t>Corrección de errores y ajustes post-pruebas (Bugs)</t>
        </is>
      </c>
      <c r="C53" s="28" t="inlineStr">
        <is>
          <t>Todo el equipo</t>
        </is>
      </c>
      <c r="D53" s="36" t="n">
        <v>46364</v>
      </c>
      <c r="E53" s="46" t="n">
        <v>46365</v>
      </c>
      <c r="F53" s="47" t="n">
        <v>2</v>
      </c>
      <c r="G53" s="41" t="n">
        <v>0</v>
      </c>
      <c r="H53" s="47" t="inlineStr">
        <is>
          <t>Pendiente</t>
        </is>
      </c>
      <c r="I53" s="47" t="inlineStr">
        <is>
          <t>34</t>
        </is>
      </c>
      <c r="J53" s="47" t="inlineStr">
        <is>
          <t>Lista bugs en cero</t>
        </is>
      </c>
      <c r="K53" s="47" t="inlineStr">
        <is>
          <t>MVP</t>
        </is>
      </c>
    </row>
    <row r="54">
      <c r="A54" s="27" t="n">
        <v>39</v>
      </c>
      <c r="B54" s="13" t="inlineStr">
        <is>
          <t>Ensayo general de demostración del MVP</t>
        </is>
      </c>
      <c r="C54" s="28" t="inlineStr">
        <is>
          <t>Juan Gabriel Ortega Orellana</t>
        </is>
      </c>
      <c r="D54" s="36" t="n">
        <v>46366</v>
      </c>
      <c r="E54" s="46" t="n">
        <v>46366</v>
      </c>
      <c r="F54" s="47" t="n">
        <v>1</v>
      </c>
      <c r="G54" s="41" t="n">
        <v>0</v>
      </c>
      <c r="H54" s="47" t="inlineStr">
        <is>
          <t>Pendiente</t>
        </is>
      </c>
      <c r="I54" s="47" t="inlineStr">
        <is>
          <t>35</t>
        </is>
      </c>
      <c r="J54" s="47" t="inlineStr">
        <is>
          <t>Demo exitosa sin cortes</t>
        </is>
      </c>
      <c r="K54" s="47" t="inlineStr">
        <is>
          <t>MVP</t>
        </is>
      </c>
    </row>
    <row r="55">
      <c r="A55" s="27" t="n">
        <v>40</v>
      </c>
      <c r="B55" s="13" t="inlineStr">
        <is>
          <t>Revisión cruzada de la instalación</t>
        </is>
      </c>
      <c r="C55" s="28" t="inlineStr">
        <is>
          <t>Juan Gabriel Ortega Orellana</t>
        </is>
      </c>
      <c r="D55" s="36" t="n">
        <v>46367</v>
      </c>
      <c r="E55" s="46" t="n">
        <v>46367</v>
      </c>
      <c r="F55" s="47" t="n">
        <v>1</v>
      </c>
      <c r="G55" s="41" t="n">
        <v>0</v>
      </c>
      <c r="H55" s="47" t="inlineStr">
        <is>
          <t>Pendiente</t>
        </is>
      </c>
      <c r="I55" s="47" t="inlineStr">
        <is>
          <t>36</t>
        </is>
      </c>
      <c r="J55" s="47" t="inlineStr">
        <is>
          <t>Instalación repetida por otro</t>
        </is>
      </c>
      <c r="K55" s="47" t="inlineStr">
        <is>
          <t>MVP</t>
        </is>
      </c>
    </row>
  </sheetData>
  <mergeCells count="21">
    <mergeCell ref="A15:H15"/>
    <mergeCell ref="AC3:BF3"/>
    <mergeCell ref="A1:H1"/>
    <mergeCell ref="DP3:DZ3"/>
    <mergeCell ref="A27:H27"/>
    <mergeCell ref="D51:F51"/>
    <mergeCell ref="A3:H3"/>
    <mergeCell ref="BG3:CK3"/>
    <mergeCell ref="A2:H2"/>
    <mergeCell ref="I3:AB3"/>
    <mergeCell ref="BF2:BT2"/>
    <mergeCell ref="A5:H5"/>
    <mergeCell ref="A23:H23"/>
    <mergeCell ref="A32:H32"/>
    <mergeCell ref="G51:H51"/>
    <mergeCell ref="A43:H43"/>
    <mergeCell ref="A38:H38"/>
    <mergeCell ref="A10:H10"/>
    <mergeCell ref="A19:H19"/>
    <mergeCell ref="CL3:DO3"/>
    <mergeCell ref="I51:AN51"/>
  </mergeCells>
  <conditionalFormatting sqref="G6:G9 G11:G14 G16:G18 G20:G22 G24:G26 G28:G31 G33:G37 G39:G42 G44:G49">
    <cfRule type="cellIs" priority="5" operator="equal" dxfId="7">
      <formula>1</formula>
    </cfRule>
    <cfRule type="cellIs" priority="6" operator="between" dxfId="6">
      <formula>0.5</formula>
      <formula>0.99</formula>
    </cfRule>
    <cfRule type="cellIs" priority="7" operator="between" dxfId="5">
      <formula>0.01</formula>
      <formula>0.49</formula>
    </cfRule>
    <cfRule type="cellIs" priority="8" operator="equal" dxfId="0">
      <formula>0</formula>
    </cfRule>
  </conditionalFormatting>
  <conditionalFormatting sqref="H6:H9 H11:H14 H16:H18 H20:H22 H24:H26 H28:H31 H33:H37 H39:H42 H44:H49">
    <cfRule type="cellIs" priority="1" operator="equal" dxfId="3">
      <formula>"Completado"</formula>
    </cfRule>
    <cfRule type="cellIs" priority="2" operator="equal" dxfId="2">
      <formula>"En Progreso"</formula>
    </cfRule>
    <cfRule type="cellIs" priority="3" operator="equal" dxfId="1">
      <formula>"Iniciada"</formula>
    </cfRule>
    <cfRule type="cellIs" priority="4" operator="equal" dxfId="0">
      <formula>"Pendiente"</formula>
    </cfRule>
  </conditionalFormatting>
  <printOptions horizontalCentered="1"/>
  <pageMargins left="0.25" right="0.25" top="0.4" bottom="0.4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2026-01-20T18:05:33Z</dcterms:created>
  <dcterms:modified xmlns:dcterms="http://purl.org/dc/terms/" xmlns:xsi="http://www.w3.org/2001/XMLSchema-instance" xsi:type="dcterms:W3CDTF">2026-10-14T00:43:30Z</dcterms:modified>
  <cp:lastModifiedBy>202300698@est.umss.edu</cp:lastModifiedBy>
</cp:coreProperties>
</file>